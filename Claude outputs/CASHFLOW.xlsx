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MOVIMIENTOS" sheetId="4" state="visible" r:id="rId4"/>
    <sheet xmlns:r="http://schemas.openxmlformats.org/officeDocument/2006/relationships" name="FIJOS" sheetId="5" state="visible" r:id="rId5"/>
    <sheet xmlns:r="http://schemas.openxmlformats.org/officeDocument/2006/relationships" name="COMPROMISOS" sheetId="6" state="visible" r:id="rId6"/>
    <sheet xmlns:r="http://schemas.openxmlformats.org/officeDocument/2006/relationships" name="INVERSIONES" sheetId="7" state="visible" r:id="rId7"/>
    <sheet xmlns:r="http://schemas.openxmlformats.org/officeDocument/2006/relationships" name="ENERO" sheetId="8" state="visible" r:id="rId8"/>
    <sheet xmlns:r="http://schemas.openxmlformats.org/officeDocument/2006/relationships" name="FEBRERO" sheetId="9" state="visible" r:id="rId9"/>
    <sheet xmlns:r="http://schemas.openxmlformats.org/officeDocument/2006/relationships" name="MARZO" sheetId="10" state="visible" r:id="rId10"/>
    <sheet xmlns:r="http://schemas.openxmlformats.org/officeDocument/2006/relationships" name="ABRIL" sheetId="11" state="visible" r:id="rId11"/>
    <sheet xmlns:r="http://schemas.openxmlformats.org/officeDocument/2006/relationships" name="MAYO" sheetId="12" state="visible" r:id="rId12"/>
    <sheet xmlns:r="http://schemas.openxmlformats.org/officeDocument/2006/relationships" name="JUNIO" sheetId="13" state="visible" r:id="rId13"/>
    <sheet xmlns:r="http://schemas.openxmlformats.org/officeDocument/2006/relationships" name="JULIO" sheetId="14" state="visible" r:id="rId14"/>
    <sheet xmlns:r="http://schemas.openxmlformats.org/officeDocument/2006/relationships" name="AGOSTO" sheetId="15" state="visible" r:id="rId15"/>
    <sheet xmlns:r="http://schemas.openxmlformats.org/officeDocument/2006/relationships" name="SEPTIEMBRE" sheetId="16" state="visible" r:id="rId16"/>
    <sheet xmlns:r="http://schemas.openxmlformats.org/officeDocument/2006/relationships" name="OCTUBRE" sheetId="17" state="visible" r:id="rId17"/>
    <sheet xmlns:r="http://schemas.openxmlformats.org/officeDocument/2006/relationships" name="NOVIEMBRE" sheetId="18" state="visible" r:id="rId18"/>
    <sheet xmlns:r="http://schemas.openxmlformats.org/officeDocument/2006/relationships" name="DICIEMBRE" sheetId="19" state="visible" r:id="rId19"/>
    <sheet xmlns:r="http://schemas.openxmlformats.org/officeDocument/2006/relationships" name="APRENDIZAJE" sheetId="20" state="visible" r:id="rId20"/>
    <sheet xmlns:r="http://schemas.openxmlformats.org/officeDocument/2006/relationships" name="DOCUMENTOS" sheetId="21" state="visible" r:id="rId21"/>
    <sheet xmlns:r="http://schemas.openxmlformats.org/officeDocument/2006/relationships" name="DETALLE" sheetId="22" state="visible" r:id="rId22"/>
  </sheets>
  <definedNames>
    <definedName name="LISTA_CATEGORIAS">CATEGORIAS!$C$4:$C$33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[Red]-$#,##0"/>
    <numFmt numFmtId="165" formatCode="yyyy-mm-dd"/>
    <numFmt numFmtId="166" formatCode="yyyy-mm"/>
    <numFmt numFmtId="167" formatCode="$#,##0;;&quot;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A6B7D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A2540"/>
      <sz val="11"/>
    </font>
  </fonts>
  <fills count="7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8EA9DB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5" fillId="3" borderId="1" pivotButton="0" quotePrefix="0" xfId="0"/>
    <xf numFmtId="0" fontId="2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164" fontId="4" fillId="4" borderId="1" pivotButton="0" quotePrefix="0" xfId="0"/>
    <xf numFmtId="9" fontId="4" fillId="4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4" fillId="6" borderId="0" applyAlignment="1" pivotButton="0" quotePrefix="0" xfId="0">
      <alignment vertical="center" wrapText="1"/>
    </xf>
    <xf numFmtId="0" fontId="5" fillId="4" borderId="1" pivotButton="0" quotePrefix="0" xfId="0"/>
    <xf numFmtId="164" fontId="4" fillId="5" borderId="1" pivotButton="0" quotePrefix="0" xfId="0"/>
    <xf numFmtId="1" fontId="4" fillId="4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4" borderId="1" pivotButton="0" quotePrefix="0" xfId="0"/>
    <xf numFmtId="164" fontId="5" fillId="5" borderId="0" pivotButton="0" quotePrefix="0" xfId="0"/>
    <xf numFmtId="0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/>
    </xf>
    <xf numFmtId="167" fontId="4" fillId="4" borderId="1" pivotButton="0" quotePrefix="0" xfId="0"/>
    <xf numFmtId="0" fontId="4" fillId="6" borderId="1" pivotButton="0" quotePrefix="0" xfId="0"/>
    <xf numFmtId="165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y egresos, mes a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'PORTADA'!B6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'PORTADA'!$A$7:$A$18</f>
            </numRef>
          </cat>
          <val>
            <numRef>
              <f>'PORTADA'!$B$7:$B$18</f>
            </numRef>
          </val>
        </ser>
        <ser>
          <idx val="1"/>
          <order val="1"/>
          <tx>
            <strRef>
              <f>'PORTADA'!C6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'PORTADA'!$A$7:$A$18</f>
            </numRef>
          </cat>
          <val>
            <numRef>
              <f>'PORTADA'!$C$7:$C$18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 del año</a:t>
            </a:r>
          </a:p>
        </rich>
      </tx>
    </title>
    <plotArea>
      <lineChart>
        <grouping val="standard"/>
        <ser>
          <idx val="0"/>
          <order val="0"/>
          <tx>
            <strRef>
              <f>'PORTADA'!E6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'PORTADA'!$A$7:$A$18</f>
            </numRef>
          </cat>
          <val>
            <numRef>
              <f>'PORTADA'!$E$7:$E$18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del ingreso que se va en gasto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'PORTADA'!F6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'PORTADA'!$A$7:$A$18</f>
            </numRef>
          </cat>
          <val>
            <numRef>
              <f>'PORTADA'!$F$7:$F$18</f>
            </numRef>
          </val>
        </ser>
        <dLbls>
          <numFmt formatCode="0%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Tasa de ahorro mes a mes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'ANALISIS'!$A$5:$A$16</f>
            </numRef>
          </cat>
          <val>
            <numRef>
              <f>'ANALISIS'!$F$5:$F$16</f>
            </numRef>
          </val>
        </ser>
        <dLbls>
          <numFmt formatCode="0%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Las cinco categorías que más pesan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'ANALISIS'!C53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'ANALISIS'!$B$54:$B$58</f>
            </numRef>
          </cat>
          <val>
            <numRef>
              <f>'ANALISIS'!$C$54:$C$58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 contra egreso, mes a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'ANALISIS'!$A$5:$A$16</f>
            </numRef>
          </cat>
          <val>
            <numRef>
              <f>'ANALISIS'!$B$5:$B$16</f>
            </numRef>
          </val>
        </ser>
        <ser>
          <idx val="1"/>
          <order val="1"/>
          <tx>
            <strRef>
              <f>'ANALISIS'!C4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'ANALISIS'!$A$5:$A$16</f>
            </numRef>
          </cat>
          <val>
            <numRef>
              <f>'ANALISIS'!$C$5:$C$16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'ENERO'!$A$44:$A$50</f>
            </numRef>
          </cat>
          <val>
            <numRef>
              <f>'ENERO'!$C$44:$C$50</f>
            </numRef>
          </val>
        </ser>
        <ser>
          <idx val="1"/>
          <order val="1"/>
          <tx>
            <strRef>
              <f>'ENERO'!D43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'ENERO'!$A$44:$A$50</f>
            </numRef>
          </cat>
          <val>
            <numRef>
              <f>'ENERO'!$D$44:$D$50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'ENERO'!AA4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'ENERO'!$S$5:$S$35</f>
            </numRef>
          </cat>
          <val>
            <numRef>
              <f>'ENERO'!$AA$5:$AA$35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'ENERO'!D5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'ENERO'!$B$6:$B$12</f>
            </numRef>
          </cat>
          <val>
            <numRef>
              <f>'ENERO'!$D$6:$D$12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'FEBRERO'!C43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'FEBRERO'!$A$44:$A$50</f>
            </numRef>
          </cat>
          <val>
            <numRef>
              <f>'FEBRERO'!$C$44:$C$50</f>
            </numRef>
          </val>
        </ser>
        <ser>
          <idx val="1"/>
          <order val="1"/>
          <tx>
            <strRef>
              <f>'FEBRERO'!D43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'FEBRERO'!$A$44:$A$50</f>
            </numRef>
          </cat>
          <val>
            <numRef>
              <f>'FEBRERO'!$D$44:$D$50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'FEBRERO'!AA4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'FEBRERO'!$S$5:$S$35</f>
            </numRef>
          </cat>
          <val>
            <numRef>
              <f>'FEBRERO'!$AA$5:$AA$35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'FEBRERO'!D5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'FEBRERO'!$B$6:$B$12</f>
            </numRef>
          </cat>
          <val>
            <numRef>
              <f>'FEBRERO'!$D$6:$D$12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'MARZO'!C43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'MARZO'!$A$44:$A$50</f>
            </numRef>
          </cat>
          <val>
            <numRef>
              <f>'MARZO'!$C$44:$C$50</f>
            </numRef>
          </val>
        </ser>
        <ser>
          <idx val="1"/>
          <order val="1"/>
          <tx>
            <strRef>
              <f>'MARZO'!D43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'MARZO'!$A$44:$A$50</f>
            </numRef>
          </cat>
          <val>
            <numRef>
              <f>'MARZO'!$D$44:$D$50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'MARZO'!AA4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'MARZO'!$S$5:$S$35</f>
            </numRef>
          </cat>
          <val>
            <numRef>
              <f>'MARZO'!$AA$5:$AA$35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'MARZO'!D5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'MARZO'!$B$6:$B$12</f>
            </numRef>
          </cat>
          <val>
            <numRef>
              <f>'MARZO'!$D$6:$D$12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'ABRIL'!C43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'ABRIL'!$A$44:$A$50</f>
            </numRef>
          </cat>
          <val>
            <numRef>
              <f>'ABRIL'!$C$44:$C$50</f>
            </numRef>
          </val>
        </ser>
        <ser>
          <idx val="1"/>
          <order val="1"/>
          <tx>
            <strRef>
              <f>'ABRIL'!D43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'ABRIL'!$A$44:$A$50</f>
            </numRef>
          </cat>
          <val>
            <numRef>
              <f>'ABRIL'!$D$44:$D$50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'ABRIL'!AA4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'ABRIL'!$S$5:$S$35</f>
            </numRef>
          </cat>
          <val>
            <numRef>
              <f>'ABRIL'!$AA$5:$AA$35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'ABRIL'!D5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'ABRIL'!$B$6:$B$12</f>
            </numRef>
          </cat>
          <val>
            <numRef>
              <f>'ABRIL'!$D$6:$D$12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'MAYO'!C43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'MAYO'!$A$44:$A$50</f>
            </numRef>
          </cat>
          <val>
            <numRef>
              <f>'MAYO'!$C$44:$C$50</f>
            </numRef>
          </val>
        </ser>
        <ser>
          <idx val="1"/>
          <order val="1"/>
          <tx>
            <strRef>
              <f>'MAYO'!D43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'MAYO'!$A$44:$A$50</f>
            </numRef>
          </cat>
          <val>
            <numRef>
              <f>'MAYO'!$D$44:$D$50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'MAYO'!AA4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'MAYO'!$S$5:$S$35</f>
            </numRef>
          </cat>
          <val>
            <numRef>
              <f>'MAYO'!$AA$5:$AA$35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'MAYO'!$B$6:$B$12</f>
            </numRef>
          </cat>
          <val>
            <numRef>
              <f>'MAYO'!$D$6:$D$12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'JUNIO'!C43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'JUNIO'!$A$44:$A$50</f>
            </numRef>
          </cat>
          <val>
            <numRef>
              <f>'JUNIO'!$C$44:$C$50</f>
            </numRef>
          </val>
        </ser>
        <ser>
          <idx val="1"/>
          <order val="1"/>
          <tx>
            <strRef>
              <f>'JUNIO'!D43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'JUNIO'!$A$44:$A$50</f>
            </numRef>
          </cat>
          <val>
            <numRef>
              <f>'JUNIO'!$D$44:$D$50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'JUNIO'!AA4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'JUNIO'!$S$5:$S$35</f>
            </numRef>
          </cat>
          <val>
            <numRef>
              <f>'JUNIO'!$AA$5:$AA$35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'JUNIO'!D5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'JUNIO'!$B$6:$B$12</f>
            </numRef>
          </cat>
          <val>
            <numRef>
              <f>'JUNIO'!$D$6:$D$12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'JULIO'!C43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'JULIO'!$A$44:$A$50</f>
            </numRef>
          </cat>
          <val>
            <numRef>
              <f>'JULIO'!$C$44:$C$50</f>
            </numRef>
          </val>
        </ser>
        <ser>
          <idx val="1"/>
          <order val="1"/>
          <tx>
            <strRef>
              <f>'JULIO'!D43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'JULIO'!$A$44:$A$50</f>
            </numRef>
          </cat>
          <val>
            <numRef>
              <f>'JULIO'!$D$44:$D$50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'JULIO'!AA4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'JULIO'!$S$5:$S$35</f>
            </numRef>
          </cat>
          <val>
            <numRef>
              <f>'JULIO'!$AA$5:$AA$35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'JULIO'!D5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'JULIO'!$B$6:$B$12</f>
            </numRef>
          </cat>
          <val>
            <numRef>
              <f>'JULIO'!$D$6:$D$12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'AGOSTO'!C43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'AGOSTO'!$A$44:$A$50</f>
            </numRef>
          </cat>
          <val>
            <numRef>
              <f>'AGOSTO'!$C$44:$C$50</f>
            </numRef>
          </val>
        </ser>
        <ser>
          <idx val="1"/>
          <order val="1"/>
          <tx>
            <strRef>
              <f>'AGOSTO'!D43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'AGOSTO'!$A$44:$A$50</f>
            </numRef>
          </cat>
          <val>
            <numRef>
              <f>'AGOSTO'!$D$44:$D$50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'AGOSTO'!AA4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'AGOSTO'!$S$5:$S$35</f>
            </numRef>
          </cat>
          <val>
            <numRef>
              <f>'AGOSTO'!$AA$5:$AA$35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'AGOSTO'!D5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'AGOSTO'!$B$6:$B$12</f>
            </numRef>
          </cat>
          <val>
            <numRef>
              <f>'AGOSTO'!$D$6:$D$12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'SEPTIEMBRE'!C43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'SEPTIEMBRE'!$A$44:$A$50</f>
            </numRef>
          </cat>
          <val>
            <numRef>
              <f>'SEPTIEMBRE'!$C$44:$C$50</f>
            </numRef>
          </val>
        </ser>
        <ser>
          <idx val="1"/>
          <order val="1"/>
          <tx>
            <strRef>
              <f>'SEPTIEMBRE'!D43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'SEPTIEMBRE'!$A$44:$A$50</f>
            </numRef>
          </cat>
          <val>
            <numRef>
              <f>'SEPTIEMBRE'!$D$44:$D$50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'SEPTIEMBRE'!AA4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'SEPTIEMBRE'!$S$5:$S$35</f>
            </numRef>
          </cat>
          <val>
            <numRef>
              <f>'SEPTIEMBRE'!$AA$5:$AA$35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'SEPTIEMBRE'!D5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'SEPTIEMBRE'!$B$6:$B$12</f>
            </numRef>
          </cat>
          <val>
            <numRef>
              <f>'SEPTIEMBRE'!$D$6:$D$12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'OCTUBRE'!C43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'OCTUBRE'!$A$44:$A$50</f>
            </numRef>
          </cat>
          <val>
            <numRef>
              <f>'OCTUBRE'!$C$44:$C$50</f>
            </numRef>
          </val>
        </ser>
        <ser>
          <idx val="1"/>
          <order val="1"/>
          <tx>
            <strRef>
              <f>'OCTUBRE'!D43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'OCTUBRE'!$A$44:$A$50</f>
            </numRef>
          </cat>
          <val>
            <numRef>
              <f>'OCTUBRE'!$D$44:$D$50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'OCTUBRE'!AA4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'OCTUBRE'!$S$5:$S$35</f>
            </numRef>
          </cat>
          <val>
            <numRef>
              <f>'OCTUBRE'!$AA$5:$AA$35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'OCTUBRE'!D5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'OCTUBRE'!$B$6:$B$12</f>
            </numRef>
          </cat>
          <val>
            <numRef>
              <f>'OCTUBRE'!$D$6:$D$12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'NOVIEMBRE'!C43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'NOVIEMBRE'!$A$44:$A$50</f>
            </numRef>
          </cat>
          <val>
            <numRef>
              <f>'NOVIEMBRE'!$C$44:$C$50</f>
            </numRef>
          </val>
        </ser>
        <ser>
          <idx val="1"/>
          <order val="1"/>
          <tx>
            <strRef>
              <f>'NOVIEMBRE'!D43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'NOVIEMBRE'!$A$44:$A$50</f>
            </numRef>
          </cat>
          <val>
            <numRef>
              <f>'NOVIEMBRE'!$D$44:$D$50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'NOVIEMBRE'!AA4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'NOVIEMBRE'!$S$5:$S$35</f>
            </numRef>
          </cat>
          <val>
            <numRef>
              <f>'NOVIEMBRE'!$AA$5:$AA$35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'NOVIEMBRE'!D5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'NOVIEMBRE'!$B$6:$B$12</f>
            </numRef>
          </cat>
          <val>
            <numRef>
              <f>'NOVIEMBRE'!$D$6:$D$12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contra lo real,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'DICIEMBRE'!C43</f>
            </strRef>
          </tx>
          <spPr>
            <a:ln xmlns:a="http://schemas.openxmlformats.org/drawingml/2006/main">
              <a:prstDash val="solid"/>
            </a:ln>
          </spPr>
          <cat>
            <numRef>
              <f>'DICIEMBRE'!$A$44:$A$50</f>
            </numRef>
          </cat>
          <val>
            <numRef>
              <f>'DICIEMBRE'!$C$44:$C$50</f>
            </numRef>
          </val>
        </ser>
        <ser>
          <idx val="1"/>
          <order val="1"/>
          <tx>
            <strRef>
              <f>'DICIEMBRE'!D43</f>
            </strRef>
          </tx>
          <spPr>
            <a:ln xmlns:a="http://schemas.openxmlformats.org/drawingml/2006/main">
              <a:prstDash val="solid"/>
            </a:ln>
          </spPr>
          <cat>
            <numRef>
              <f>'DICIEMBRE'!$A$44:$A$50</f>
            </numRef>
          </cat>
          <val>
            <numRef>
              <f>'DICIEMBRE'!$D$44:$D$50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Cuánto gastaste cada día</a:t>
            </a:r>
          </a:p>
        </rich>
      </tx>
    </title>
    <plotArea>
      <lineChart>
        <grouping val="standard"/>
        <ser>
          <idx val="0"/>
          <order val="0"/>
          <tx>
            <strRef>
              <f>'DICIEMBRE'!AA4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'DICIEMBRE'!$S$5:$S$35</f>
            </numRef>
          </cat>
          <val>
            <numRef>
              <f>'DICIEMBRE'!$AA$5:$AA$35</f>
            </numRef>
          </val>
        </ser>
        <dLbls>
          <numFmt formatCode="$#,##0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'DICIEMBRE'!D5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'DICIEMBRE'!$B$6:$B$12</f>
            </numRef>
          </cat>
          <val>
            <numRef>
              <f>'DICIEMBRE'!$D$6:$D$12</f>
            </numRef>
          </val>
        </ser>
        <dLbls>
          <numFmt formatCode="$#,##0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8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8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68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40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CASHFLOW PERSONAL  ·  panel del año</t>
        </is>
      </c>
    </row>
    <row r="2">
      <c r="A2" s="2" t="inlineStr">
        <is>
          <t>AÑO</t>
        </is>
      </c>
      <c r="B2" s="3" t="n">
        <v>2026</v>
      </c>
      <c r="D2" s="4" t="inlineStr">
        <is>
          <t>Cambia el año acá y las doce hojas del mes se recalculan solas.</t>
        </is>
      </c>
    </row>
    <row r="3">
      <c r="A3" s="4" t="inlineStr">
        <is>
          <t>CÓDIGO DE COLOR</t>
        </is>
      </c>
      <c r="B3" s="5" t="inlineStr">
        <is>
          <t>lo escribes tú</t>
        </is>
      </c>
      <c r="C3" s="6" t="inlineStr">
        <is>
          <t>se calcula solo</t>
        </is>
      </c>
    </row>
    <row r="5">
      <c r="A5" s="2" t="inlineStr">
        <is>
          <t>EL AÑO MES A MES</t>
        </is>
      </c>
    </row>
    <row r="6">
      <c r="A6" s="7" t="inlineStr">
        <is>
          <t>MES</t>
        </is>
      </c>
      <c r="B6" s="7" t="inlineStr">
        <is>
          <t>INGRESOS</t>
        </is>
      </c>
      <c r="C6" s="7" t="inlineStr">
        <is>
          <t>EGRESOS</t>
        </is>
      </c>
      <c r="D6" s="7" t="inlineStr">
        <is>
          <t>SALDO</t>
        </is>
      </c>
      <c r="E6" s="7" t="inlineStr">
        <is>
          <t>ACUMULADO</t>
        </is>
      </c>
      <c r="F6" s="7" t="inlineStr">
        <is>
          <t>% GASTADO</t>
        </is>
      </c>
    </row>
    <row r="7">
      <c r="A7" s="6" t="inlineStr">
        <is>
          <t>ENERO</t>
        </is>
      </c>
      <c r="B7" s="8">
        <f>'ENERO'!D13</f>
        <v/>
      </c>
      <c r="C7" s="8">
        <f>'ENERO'!D40</f>
        <v/>
      </c>
      <c r="D7" s="8">
        <f>B7-C7</f>
        <v/>
      </c>
      <c r="E7" s="8">
        <f>D7</f>
        <v/>
      </c>
      <c r="F7" s="9">
        <f>IFERROR(C7/B7,"")</f>
        <v/>
      </c>
    </row>
    <row r="8">
      <c r="A8" s="6" t="inlineStr">
        <is>
          <t>FEBRERO</t>
        </is>
      </c>
      <c r="B8" s="8">
        <f>'FEBRERO'!D13</f>
        <v/>
      </c>
      <c r="C8" s="8">
        <f>'FEBRERO'!D40</f>
        <v/>
      </c>
      <c r="D8" s="8">
        <f>B8-C8</f>
        <v/>
      </c>
      <c r="E8" s="8">
        <f>E7+D8</f>
        <v/>
      </c>
      <c r="F8" s="9">
        <f>IFERROR(C8/B8,"")</f>
        <v/>
      </c>
    </row>
    <row r="9">
      <c r="A9" s="6" t="inlineStr">
        <is>
          <t>MARZO</t>
        </is>
      </c>
      <c r="B9" s="8">
        <f>'MARZO'!D13</f>
        <v/>
      </c>
      <c r="C9" s="8">
        <f>'MARZO'!D40</f>
        <v/>
      </c>
      <c r="D9" s="8">
        <f>B9-C9</f>
        <v/>
      </c>
      <c r="E9" s="8">
        <f>E8+D9</f>
        <v/>
      </c>
      <c r="F9" s="9">
        <f>IFERROR(C9/B9,"")</f>
        <v/>
      </c>
    </row>
    <row r="10">
      <c r="A10" s="6" t="inlineStr">
        <is>
          <t>ABRIL</t>
        </is>
      </c>
      <c r="B10" s="8">
        <f>'ABRIL'!D13</f>
        <v/>
      </c>
      <c r="C10" s="8">
        <f>'ABRIL'!D40</f>
        <v/>
      </c>
      <c r="D10" s="8">
        <f>B10-C10</f>
        <v/>
      </c>
      <c r="E10" s="8">
        <f>E9+D10</f>
        <v/>
      </c>
      <c r="F10" s="9">
        <f>IFERROR(C10/B10,"")</f>
        <v/>
      </c>
    </row>
    <row r="11">
      <c r="A11" s="6" t="inlineStr">
        <is>
          <t>MAYO</t>
        </is>
      </c>
      <c r="B11" s="8">
        <f>'MAYO'!D13</f>
        <v/>
      </c>
      <c r="C11" s="8">
        <f>'MAYO'!D40</f>
        <v/>
      </c>
      <c r="D11" s="8">
        <f>B11-C11</f>
        <v/>
      </c>
      <c r="E11" s="8">
        <f>E10+D11</f>
        <v/>
      </c>
      <c r="F11" s="9">
        <f>IFERROR(C11/B11,"")</f>
        <v/>
      </c>
    </row>
    <row r="12">
      <c r="A12" s="6" t="inlineStr">
        <is>
          <t>JUNIO</t>
        </is>
      </c>
      <c r="B12" s="8">
        <f>'JUNIO'!D13</f>
        <v/>
      </c>
      <c r="C12" s="8">
        <f>'JUNIO'!D40</f>
        <v/>
      </c>
      <c r="D12" s="8">
        <f>B12-C12</f>
        <v/>
      </c>
      <c r="E12" s="8">
        <f>E11+D12</f>
        <v/>
      </c>
      <c r="F12" s="9">
        <f>IFERROR(C12/B12,"")</f>
        <v/>
      </c>
    </row>
    <row r="13">
      <c r="A13" s="6" t="inlineStr">
        <is>
          <t>JULIO</t>
        </is>
      </c>
      <c r="B13" s="8">
        <f>'JULIO'!D13</f>
        <v/>
      </c>
      <c r="C13" s="8">
        <f>'JULIO'!D40</f>
        <v/>
      </c>
      <c r="D13" s="8">
        <f>B13-C13</f>
        <v/>
      </c>
      <c r="E13" s="8">
        <f>E12+D13</f>
        <v/>
      </c>
      <c r="F13" s="9">
        <f>IFERROR(C13/B13,"")</f>
        <v/>
      </c>
    </row>
    <row r="14">
      <c r="A14" s="6" t="inlineStr">
        <is>
          <t>AGOSTO</t>
        </is>
      </c>
      <c r="B14" s="8">
        <f>'AGOSTO'!D13</f>
        <v/>
      </c>
      <c r="C14" s="8">
        <f>'AGOSTO'!D40</f>
        <v/>
      </c>
      <c r="D14" s="8">
        <f>B14-C14</f>
        <v/>
      </c>
      <c r="E14" s="8">
        <f>E13+D14</f>
        <v/>
      </c>
      <c r="F14" s="9">
        <f>IFERROR(C14/B14,"")</f>
        <v/>
      </c>
    </row>
    <row r="15">
      <c r="A15" s="6" t="inlineStr">
        <is>
          <t>SEPTIEMBRE</t>
        </is>
      </c>
      <c r="B15" s="8">
        <f>'SEPTIEMBRE'!D13</f>
        <v/>
      </c>
      <c r="C15" s="8">
        <f>'SEPTIEMBRE'!D40</f>
        <v/>
      </c>
      <c r="D15" s="8">
        <f>B15-C15</f>
        <v/>
      </c>
      <c r="E15" s="8">
        <f>E14+D15</f>
        <v/>
      </c>
      <c r="F15" s="9">
        <f>IFERROR(C15/B15,"")</f>
        <v/>
      </c>
    </row>
    <row r="16">
      <c r="A16" s="6" t="inlineStr">
        <is>
          <t>OCTUBRE</t>
        </is>
      </c>
      <c r="B16" s="8">
        <f>'OCTUBRE'!D13</f>
        <v/>
      </c>
      <c r="C16" s="8">
        <f>'OCTUBRE'!D40</f>
        <v/>
      </c>
      <c r="D16" s="8">
        <f>B16-C16</f>
        <v/>
      </c>
      <c r="E16" s="8">
        <f>E15+D16</f>
        <v/>
      </c>
      <c r="F16" s="9">
        <f>IFERROR(C16/B16,"")</f>
        <v/>
      </c>
    </row>
    <row r="17">
      <c r="A17" s="6" t="inlineStr">
        <is>
          <t>NOVIEMBRE</t>
        </is>
      </c>
      <c r="B17" s="8">
        <f>'NOVIEMBRE'!D13</f>
        <v/>
      </c>
      <c r="C17" s="8">
        <f>'NOVIEMBRE'!D40</f>
        <v/>
      </c>
      <c r="D17" s="8">
        <f>B17-C17</f>
        <v/>
      </c>
      <c r="E17" s="8">
        <f>E16+D17</f>
        <v/>
      </c>
      <c r="F17" s="9">
        <f>IFERROR(C17/B17,"")</f>
        <v/>
      </c>
    </row>
    <row r="18">
      <c r="A18" s="6" t="inlineStr">
        <is>
          <t>DICIEMBRE</t>
        </is>
      </c>
      <c r="B18" s="8">
        <f>'DICIEMBRE'!D13</f>
        <v/>
      </c>
      <c r="C18" s="8">
        <f>'DICIEMBRE'!D40</f>
        <v/>
      </c>
      <c r="D18" s="8">
        <f>B18-C18</f>
        <v/>
      </c>
      <c r="E18" s="8">
        <f>E17+D18</f>
        <v/>
      </c>
      <c r="F18" s="9">
        <f>IFERROR(C18/B18,"")</f>
        <v/>
      </c>
    </row>
    <row r="19">
      <c r="A19" s="10" t="inlineStr">
        <is>
          <t>TOTAL AÑO</t>
        </is>
      </c>
      <c r="B19" s="11">
        <f>SUM(B7:B18)</f>
        <v/>
      </c>
      <c r="C19" s="11">
        <f>SUM(C7:C18)</f>
        <v/>
      </c>
      <c r="D19" s="11">
        <f>SUM(D7:D18)</f>
        <v/>
      </c>
      <c r="E19" s="10" t="n"/>
      <c r="F19" s="10" t="n"/>
    </row>
    <row r="21">
      <c r="A21" s="2" t="inlineStr">
        <is>
          <t>COMPROMETIDO CADA MES</t>
        </is>
      </c>
    </row>
    <row r="22">
      <c r="A22" s="6" t="inlineStr">
        <is>
          <t>Gastos fijos</t>
        </is>
      </c>
      <c r="B22" s="8">
        <f>FIJOS!C11</f>
        <v/>
      </c>
    </row>
    <row r="23">
      <c r="A23" s="6" t="inlineStr">
        <is>
          <t>Cuotas de créditos</t>
        </is>
      </c>
      <c r="B23" s="8">
        <f>COMPROMISOS!C7</f>
        <v/>
      </c>
    </row>
    <row r="24">
      <c r="A24" s="6" t="inlineStr">
        <is>
          <t>Ingreso presupuestado</t>
        </is>
      </c>
      <c r="B24" s="8">
        <f>SUMIFS(CATEGORIAS!$E:$E,CATEGORIAS!$A:$A,"INGRESO")</f>
        <v/>
      </c>
    </row>
    <row r="25">
      <c r="A25" s="10" t="inlineStr">
        <is>
          <t>LIBRE DESPUÉS DE LO FIJO</t>
        </is>
      </c>
      <c r="B25" s="11">
        <f>B24-B22-B23</f>
        <v/>
      </c>
    </row>
    <row r="27">
      <c r="A27" s="6" t="inlineStr">
        <is>
          <t>DEUDA PENDIENTE</t>
        </is>
      </c>
      <c r="B27" s="8">
        <f>COMPROMISOS!F7</f>
        <v/>
      </c>
    </row>
    <row r="28">
      <c r="A28" s="6" t="inlineStr">
        <is>
          <t>INVERTIDO SIN RECUPERAR</t>
        </is>
      </c>
      <c r="B28" s="8">
        <f>-INVERSIONES!E7</f>
        <v/>
      </c>
    </row>
    <row r="30">
      <c r="A30" s="2" t="inlineStr">
        <is>
          <t>QUÉ DICEN LOS NÚMEROS</t>
        </is>
      </c>
    </row>
    <row r="31" ht="26" customHeight="1">
      <c r="A31" s="12">
        <f>IF(B19=0,"Todavía no hay movimientos cargados.",CONCATENATE("En el año llevas ",TEXT(B19,"$#,##0")," de ingreso y ",TEXT(C19,"$#,##0")," de egreso. Te queda ",TEXT(D19,"$#,##0"),"."))</f>
        <v/>
      </c>
    </row>
    <row r="32" ht="26" customHeight="1">
      <c r="A32" s="12">
        <f>IF(B19=0,"",IF(D19&lt;0,"Estás gastando más de lo que entra. El saldo del año es negativo.",CONCATENATE("Estás guardando el ",TEXT(D19/B19,"0%")," de lo que entra.")))</f>
        <v/>
      </c>
    </row>
    <row r="33" ht="26" customHeight="1">
      <c r="A33" s="12">
        <f>CONCATENATE("Antes de gastar un peso ya tienes comprometidos ",TEXT(B22+B23,"$#,##0")," al mes. Te quedan libres ",TEXT(B25,"$#,##0"),".")</f>
        <v/>
      </c>
    </row>
    <row r="34" ht="26" customHeight="1">
      <c r="A34" s="12">
        <f>IF(COMPROMISOS!F7=0,"No tienes deuda pendiente.",CONCATENATE("Debes ",TEXT(COMPROMISOS!F7,"$#,##0")," en cuotas. La última se paga en ",TEXT(MAX(COMPROMISOS!I4:I6),"mm/yyyy"),"."))</f>
        <v/>
      </c>
    </row>
    <row r="35" ht="26" customHeight="1">
      <c r="A35" s="12">
        <f>IFERROR(CONCATENATE("El mes que más gastaste fue ",INDEX(A7:A18,MATCH(MAX(C7:C18),C7:C18,0))," con ",TEXT(MAX(C7:C18),"$#,##0"),"."),"")</f>
        <v/>
      </c>
    </row>
  </sheetData>
  <mergeCells count="6">
    <mergeCell ref="A33:F33"/>
    <mergeCell ref="A32:F32"/>
    <mergeCell ref="A1:I1"/>
    <mergeCell ref="A31:F31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26" customWidth="1" min="8" max="8"/>
    <col width="16" customWidth="1" min="9" max="9"/>
    <col width="16" customWidth="1" min="10" max="10"/>
  </cols>
  <sheetData>
    <row r="1" ht="30" customHeight="1">
      <c r="A1" s="1" t="inlineStr">
        <is>
          <t>ANÁLISIS FINANCIERO  ·  qué está pasando con tu plata</t>
        </is>
      </c>
    </row>
    <row r="3">
      <c r="A3" s="2" t="inlineStr">
        <is>
          <t>1. CÓMO VA CADA MES</t>
        </is>
      </c>
      <c r="B3" s="4" t="inlineStr">
        <is>
          <t>¿Cuánto del ingreso se queda y cuánto se va en cuotas?</t>
        </is>
      </c>
    </row>
    <row r="4">
      <c r="A4" s="7" t="inlineStr">
        <is>
          <t>MES</t>
        </is>
      </c>
      <c r="B4" s="7" t="inlineStr">
        <is>
          <t>INGRESO</t>
        </is>
      </c>
      <c r="C4" s="7" t="inlineStr">
        <is>
          <t>EGRESO</t>
        </is>
      </c>
      <c r="D4" s="7" t="inlineStr">
        <is>
          <t>QUEDA</t>
        </is>
      </c>
      <c r="E4" s="7" t="inlineStr">
        <is>
          <t>AHORRO DEL MES</t>
        </is>
      </c>
      <c r="F4" s="7" t="inlineStr">
        <is>
          <t>TASA DE AHORRO</t>
        </is>
      </c>
      <c r="G4" s="7" t="inlineStr">
        <is>
          <t>CARGA DE DEUDA</t>
        </is>
      </c>
    </row>
    <row r="5">
      <c r="A5" s="6" t="inlineStr">
        <is>
          <t>ENERO</t>
        </is>
      </c>
      <c r="B5" s="8">
        <f>PORTADA!B7</f>
        <v/>
      </c>
      <c r="C5" s="8">
        <f>PORTADA!C7</f>
        <v/>
      </c>
      <c r="D5" s="8">
        <f>B5-C5</f>
        <v/>
      </c>
      <c r="E5" s="8">
        <f>SUMIFS(MOVIMIENTOS!$F:$F,MOVIMIENTOS!$E:$E,"AHORRO",MOVIMIENTOS!$A:$A,"&gt;="&amp;DATE(PORTADA!$B$2,1,1),MOVIMIENTOS!$A:$A,"&lt;="&amp;EOMONTH(DATE(PORTADA!$B$2,1,1),0))</f>
        <v/>
      </c>
      <c r="F5" s="9">
        <f>IFERROR((D5+E5)/B5,"")</f>
        <v/>
      </c>
      <c r="G5" s="9">
        <f>IFERROR(COMPROMISOS!$C$7/B5,"")</f>
        <v/>
      </c>
    </row>
    <row r="6">
      <c r="A6" s="6" t="inlineStr">
        <is>
          <t>FEBRERO</t>
        </is>
      </c>
      <c r="B6" s="8">
        <f>PORTADA!B8</f>
        <v/>
      </c>
      <c r="C6" s="8">
        <f>PORTADA!C8</f>
        <v/>
      </c>
      <c r="D6" s="8">
        <f>B6-C6</f>
        <v/>
      </c>
      <c r="E6" s="8">
        <f>SUMIFS(MOVIMIENTOS!$F:$F,MOVIMIENTOS!$E:$E,"AHORRO",MOVIMIENTOS!$A:$A,"&gt;="&amp;DATE(PORTADA!$B$2,2,1),MOVIMIENTOS!$A:$A,"&lt;="&amp;EOMONTH(DATE(PORTADA!$B$2,2,1),0))</f>
        <v/>
      </c>
      <c r="F6" s="9">
        <f>IFERROR((D6+E6)/B6,"")</f>
        <v/>
      </c>
      <c r="G6" s="9">
        <f>IFERROR(COMPROMISOS!$C$7/B6,"")</f>
        <v/>
      </c>
    </row>
    <row r="7">
      <c r="A7" s="6" t="inlineStr">
        <is>
          <t>MARZO</t>
        </is>
      </c>
      <c r="B7" s="8">
        <f>PORTADA!B9</f>
        <v/>
      </c>
      <c r="C7" s="8">
        <f>PORTADA!C9</f>
        <v/>
      </c>
      <c r="D7" s="8">
        <f>B7-C7</f>
        <v/>
      </c>
      <c r="E7" s="8">
        <f>SUMIFS(MOVIMIENTOS!$F:$F,MOVIMIENTOS!$E:$E,"AHORRO",MOVIMIENTOS!$A:$A,"&gt;="&amp;DATE(PORTADA!$B$2,3,1),MOVIMIENTOS!$A:$A,"&lt;="&amp;EOMONTH(DATE(PORTADA!$B$2,3,1),0))</f>
        <v/>
      </c>
      <c r="F7" s="9">
        <f>IFERROR((D7+E7)/B7,"")</f>
        <v/>
      </c>
      <c r="G7" s="9">
        <f>IFERROR(COMPROMISOS!$C$7/B7,"")</f>
        <v/>
      </c>
    </row>
    <row r="8">
      <c r="A8" s="6" t="inlineStr">
        <is>
          <t>ABRIL</t>
        </is>
      </c>
      <c r="B8" s="8">
        <f>PORTADA!B10</f>
        <v/>
      </c>
      <c r="C8" s="8">
        <f>PORTADA!C10</f>
        <v/>
      </c>
      <c r="D8" s="8">
        <f>B8-C8</f>
        <v/>
      </c>
      <c r="E8" s="8">
        <f>SUMIFS(MOVIMIENTOS!$F:$F,MOVIMIENTOS!$E:$E,"AHORRO",MOVIMIENTOS!$A:$A,"&gt;="&amp;DATE(PORTADA!$B$2,4,1),MOVIMIENTOS!$A:$A,"&lt;="&amp;EOMONTH(DATE(PORTADA!$B$2,4,1),0))</f>
        <v/>
      </c>
      <c r="F8" s="9">
        <f>IFERROR((D8+E8)/B8,"")</f>
        <v/>
      </c>
      <c r="G8" s="9">
        <f>IFERROR(COMPROMISOS!$C$7/B8,"")</f>
        <v/>
      </c>
    </row>
    <row r="9">
      <c r="A9" s="6" t="inlineStr">
        <is>
          <t>MAYO</t>
        </is>
      </c>
      <c r="B9" s="8">
        <f>PORTADA!B11</f>
        <v/>
      </c>
      <c r="C9" s="8">
        <f>PORTADA!C11</f>
        <v/>
      </c>
      <c r="D9" s="8">
        <f>B9-C9</f>
        <v/>
      </c>
      <c r="E9" s="8">
        <f>SUMIFS(MOVIMIENTOS!$F:$F,MOVIMIENTOS!$E:$E,"AHORRO",MOVIMIENTOS!$A:$A,"&gt;="&amp;DATE(PORTADA!$B$2,5,1),MOVIMIENTOS!$A:$A,"&lt;="&amp;EOMONTH(DATE(PORTADA!$B$2,5,1),0))</f>
        <v/>
      </c>
      <c r="F9" s="9">
        <f>IFERROR((D9+E9)/B9,"")</f>
        <v/>
      </c>
      <c r="G9" s="9">
        <f>IFERROR(COMPROMISOS!$C$7/B9,"")</f>
        <v/>
      </c>
    </row>
    <row r="10">
      <c r="A10" s="6" t="inlineStr">
        <is>
          <t>JUNIO</t>
        </is>
      </c>
      <c r="B10" s="8">
        <f>PORTADA!B12</f>
        <v/>
      </c>
      <c r="C10" s="8">
        <f>PORTADA!C12</f>
        <v/>
      </c>
      <c r="D10" s="8">
        <f>B10-C10</f>
        <v/>
      </c>
      <c r="E10" s="8">
        <f>SUMIFS(MOVIMIENTOS!$F:$F,MOVIMIENTOS!$E:$E,"AHORRO",MOVIMIENTOS!$A:$A,"&gt;="&amp;DATE(PORTADA!$B$2,6,1),MOVIMIENTOS!$A:$A,"&lt;="&amp;EOMONTH(DATE(PORTADA!$B$2,6,1),0))</f>
        <v/>
      </c>
      <c r="F10" s="9">
        <f>IFERROR((D10+E10)/B10,"")</f>
        <v/>
      </c>
      <c r="G10" s="9">
        <f>IFERROR(COMPROMISOS!$C$7/B10,"")</f>
        <v/>
      </c>
    </row>
    <row r="11">
      <c r="A11" s="6" t="inlineStr">
        <is>
          <t>JULIO</t>
        </is>
      </c>
      <c r="B11" s="8">
        <f>PORTADA!B13</f>
        <v/>
      </c>
      <c r="C11" s="8">
        <f>PORTADA!C13</f>
        <v/>
      </c>
      <c r="D11" s="8">
        <f>B11-C11</f>
        <v/>
      </c>
      <c r="E11" s="8">
        <f>SUMIFS(MOVIMIENTOS!$F:$F,MOVIMIENTOS!$E:$E,"AHORRO",MOVIMIENTOS!$A:$A,"&gt;="&amp;DATE(PORTADA!$B$2,7,1),MOVIMIENTOS!$A:$A,"&lt;="&amp;EOMONTH(DATE(PORTADA!$B$2,7,1),0))</f>
        <v/>
      </c>
      <c r="F11" s="9">
        <f>IFERROR((D11+E11)/B11,"")</f>
        <v/>
      </c>
      <c r="G11" s="9">
        <f>IFERROR(COMPROMISOS!$C$7/B11,"")</f>
        <v/>
      </c>
    </row>
    <row r="12">
      <c r="A12" s="6" t="inlineStr">
        <is>
          <t>AGOSTO</t>
        </is>
      </c>
      <c r="B12" s="8">
        <f>PORTADA!B14</f>
        <v/>
      </c>
      <c r="C12" s="8">
        <f>PORTADA!C14</f>
        <v/>
      </c>
      <c r="D12" s="8">
        <f>B12-C12</f>
        <v/>
      </c>
      <c r="E12" s="8">
        <f>SUMIFS(MOVIMIENTOS!$F:$F,MOVIMIENTOS!$E:$E,"AHORRO",MOVIMIENTOS!$A:$A,"&gt;="&amp;DATE(PORTADA!$B$2,8,1),MOVIMIENTOS!$A:$A,"&lt;="&amp;EOMONTH(DATE(PORTADA!$B$2,8,1),0))</f>
        <v/>
      </c>
      <c r="F12" s="9">
        <f>IFERROR((D12+E12)/B12,"")</f>
        <v/>
      </c>
      <c r="G12" s="9">
        <f>IFERROR(COMPROMISOS!$C$7/B12,"")</f>
        <v/>
      </c>
    </row>
    <row r="13">
      <c r="A13" s="6" t="inlineStr">
        <is>
          <t>SEPTIEMBRE</t>
        </is>
      </c>
      <c r="B13" s="8">
        <f>PORTADA!B15</f>
        <v/>
      </c>
      <c r="C13" s="8">
        <f>PORTADA!C15</f>
        <v/>
      </c>
      <c r="D13" s="8">
        <f>B13-C13</f>
        <v/>
      </c>
      <c r="E13" s="8">
        <f>SUMIFS(MOVIMIENTOS!$F:$F,MOVIMIENTOS!$E:$E,"AHORRO",MOVIMIENTOS!$A:$A,"&gt;="&amp;DATE(PORTADA!$B$2,9,1),MOVIMIENTOS!$A:$A,"&lt;="&amp;EOMONTH(DATE(PORTADA!$B$2,9,1),0))</f>
        <v/>
      </c>
      <c r="F13" s="9">
        <f>IFERROR((D13+E13)/B13,"")</f>
        <v/>
      </c>
      <c r="G13" s="9">
        <f>IFERROR(COMPROMISOS!$C$7/B13,"")</f>
        <v/>
      </c>
    </row>
    <row r="14">
      <c r="A14" s="6" t="inlineStr">
        <is>
          <t>OCTUBRE</t>
        </is>
      </c>
      <c r="B14" s="8">
        <f>PORTADA!B16</f>
        <v/>
      </c>
      <c r="C14" s="8">
        <f>PORTADA!C16</f>
        <v/>
      </c>
      <c r="D14" s="8">
        <f>B14-C14</f>
        <v/>
      </c>
      <c r="E14" s="8">
        <f>SUMIFS(MOVIMIENTOS!$F:$F,MOVIMIENTOS!$E:$E,"AHORRO",MOVIMIENTOS!$A:$A,"&gt;="&amp;DATE(PORTADA!$B$2,10,1),MOVIMIENTOS!$A:$A,"&lt;="&amp;EOMONTH(DATE(PORTADA!$B$2,10,1),0))</f>
        <v/>
      </c>
      <c r="F14" s="9">
        <f>IFERROR((D14+E14)/B14,"")</f>
        <v/>
      </c>
      <c r="G14" s="9">
        <f>IFERROR(COMPROMISOS!$C$7/B14,"")</f>
        <v/>
      </c>
    </row>
    <row r="15">
      <c r="A15" s="6" t="inlineStr">
        <is>
          <t>NOVIEMBRE</t>
        </is>
      </c>
      <c r="B15" s="8">
        <f>PORTADA!B17</f>
        <v/>
      </c>
      <c r="C15" s="8">
        <f>PORTADA!C17</f>
        <v/>
      </c>
      <c r="D15" s="8">
        <f>B15-C15</f>
        <v/>
      </c>
      <c r="E15" s="8">
        <f>SUMIFS(MOVIMIENTOS!$F:$F,MOVIMIENTOS!$E:$E,"AHORRO",MOVIMIENTOS!$A:$A,"&gt;="&amp;DATE(PORTADA!$B$2,11,1),MOVIMIENTOS!$A:$A,"&lt;="&amp;EOMONTH(DATE(PORTADA!$B$2,11,1),0))</f>
        <v/>
      </c>
      <c r="F15" s="9">
        <f>IFERROR((D15+E15)/B15,"")</f>
        <v/>
      </c>
      <c r="G15" s="9">
        <f>IFERROR(COMPROMISOS!$C$7/B15,"")</f>
        <v/>
      </c>
    </row>
    <row r="16">
      <c r="A16" s="6" t="inlineStr">
        <is>
          <t>DICIEMBRE</t>
        </is>
      </c>
      <c r="B16" s="8">
        <f>PORTADA!B18</f>
        <v/>
      </c>
      <c r="C16" s="8">
        <f>PORTADA!C18</f>
        <v/>
      </c>
      <c r="D16" s="8">
        <f>B16-C16</f>
        <v/>
      </c>
      <c r="E16" s="8">
        <f>SUMIFS(MOVIMIENTOS!$F:$F,MOVIMIENTOS!$E:$E,"AHORRO",MOVIMIENTOS!$A:$A,"&gt;="&amp;DATE(PORTADA!$B$2,12,1),MOVIMIENTOS!$A:$A,"&lt;="&amp;EOMONTH(DATE(PORTADA!$B$2,12,1),0))</f>
        <v/>
      </c>
      <c r="F16" s="9">
        <f>IFERROR((D16+E16)/B16,"")</f>
        <v/>
      </c>
      <c r="G16" s="9">
        <f>IFERROR(COMPROMISOS!$C$7/B16,"")</f>
        <v/>
      </c>
    </row>
    <row r="18">
      <c r="A18" s="2" t="inlineStr">
        <is>
          <t>2. PUNTO DE EQUILIBRIO</t>
        </is>
      </c>
      <c r="B18" s="4" t="inlineStr">
        <is>
          <t>¿Cuánto tienes que ganar para no perder?</t>
        </is>
      </c>
    </row>
    <row r="19">
      <c r="A19" s="6" t="inlineStr">
        <is>
          <t>Gastos fijos del mes</t>
        </is>
      </c>
      <c r="B19" s="8">
        <f>FIJOS!C11</f>
        <v/>
      </c>
      <c r="C19" s="4" t="inlineStr">
        <is>
          <t>Lo de FIJOS, que se paga si o si</t>
        </is>
      </c>
    </row>
    <row r="20">
      <c r="A20" s="6" t="inlineStr">
        <is>
          <t>Cuotas de créditos</t>
        </is>
      </c>
      <c r="B20" s="8">
        <f>COMPROMISOS!C7</f>
        <v/>
      </c>
      <c r="C20" s="4" t="inlineStr">
        <is>
          <t>Lo de COMPROMISOS</t>
        </is>
      </c>
    </row>
    <row r="21">
      <c r="A21" s="13" t="inlineStr">
        <is>
          <t>MÍNIMO PARA NO PERDER</t>
        </is>
      </c>
      <c r="B21" s="14">
        <f>B19+B20</f>
        <v/>
      </c>
      <c r="C21" s="4" t="inlineStr">
        <is>
          <t>Bajo esto, el mes cierra en rojo</t>
        </is>
      </c>
    </row>
    <row r="22">
      <c r="A22" s="6" t="inlineStr">
        <is>
          <t>Ingreso promedio real</t>
        </is>
      </c>
      <c r="B22" s="8">
        <f>IFERROR(AVERAGEIF(B5:B16,"&gt;0"),0)</f>
        <v/>
      </c>
      <c r="C22" s="4" t="inlineStr">
        <is>
          <t>Promedio de los meses con movimiento</t>
        </is>
      </c>
    </row>
    <row r="23">
      <c r="A23" s="6" t="inlineStr">
        <is>
          <t>Margen sobre el mínimo</t>
        </is>
      </c>
      <c r="B23" s="8">
        <f>B22-B21</f>
        <v/>
      </c>
      <c r="C23" s="4" t="inlineStr">
        <is>
          <t>Lo que te queda libre cada mes</t>
        </is>
      </c>
    </row>
    <row r="24">
      <c r="A24" s="6" t="inlineStr">
        <is>
          <t>Días del mes que cubre tu ingreso</t>
        </is>
      </c>
      <c r="B24" s="15">
        <f>IFERROR(MIN(31,ROUND(B22/(B21/30),0)),0)</f>
        <v/>
      </c>
      <c r="C24" s="4" t="inlineStr">
        <is>
          <t>Con 30 o más, llegas a fin de mes</t>
        </is>
      </c>
    </row>
    <row r="26">
      <c r="A26" s="2" t="inlineStr">
        <is>
          <t>3. EN QUÉ SE VA</t>
        </is>
      </c>
      <c r="B26" s="4" t="inlineStr">
        <is>
          <t>Gasto del año por categoría. CLASE separa gasto de ahorro y deuda</t>
        </is>
      </c>
    </row>
    <row r="27">
      <c r="A27" s="7" t="inlineStr">
        <is>
          <t>CATEGORÍA</t>
        </is>
      </c>
      <c r="B27" s="7" t="inlineStr">
        <is>
          <t>GASTO DEL AÑO</t>
        </is>
      </c>
      <c r="C27" s="7" t="inlineStr">
        <is>
          <t>% DEL TOTAL</t>
        </is>
      </c>
      <c r="D27" s="7" t="inlineStr">
        <is>
          <t>PRESUPUESTO AÑO</t>
        </is>
      </c>
      <c r="E27" s="7" t="inlineStr">
        <is>
          <t>DIFERENCIA</t>
        </is>
      </c>
      <c r="F27" s="7" t="inlineStr">
        <is>
          <t>VECES</t>
        </is>
      </c>
      <c r="G27" s="7" t="inlineStr">
        <is>
          <t>CLASE</t>
        </is>
      </c>
      <c r="H27" s="7" t="inlineStr">
        <is>
          <t>SOLO GASTO</t>
        </is>
      </c>
    </row>
    <row r="28">
      <c r="A28" s="6">
        <f>CATEGORIAS!$C$11</f>
        <v/>
      </c>
      <c r="B28" s="8">
        <f>SUMIFS(MOVIMIENTOS!$F:$F,MOVIMIENTOS!$A:$A,"&gt;="&amp;DATE(PORTADA!$B$2,1,1),MOVIMIENTOS!$A:$A,"&lt;="&amp;DATE(PORTADA!$B$2,12,31),MOVIMIENTOS!$D:$D,$A28)</f>
        <v/>
      </c>
      <c r="C28" s="9">
        <f>IFERROR(B28/SUM($B$28:$B$50),"")</f>
        <v/>
      </c>
      <c r="D28" s="8">
        <f>CATEGORIAS!$E$11*12</f>
        <v/>
      </c>
      <c r="E28" s="8">
        <f>D28-B28</f>
        <v/>
      </c>
      <c r="F28" s="6">
        <f>COUNTIFS(MOVIMIENTOS!$D:$D,$A28,MOVIMIENTOS!$A:$A,"&gt;="&amp;DATE(PORTADA!$B$2,1,1),MOVIMIENTOS!$A:$A,"&lt;="&amp;DATE(PORTADA!$B$2,12,31))</f>
        <v/>
      </c>
      <c r="G28" s="6">
        <f>CATEGORIAS!$D$11</f>
        <v/>
      </c>
      <c r="H28" s="8">
        <f>IF(G28="GASTO",B28,"")</f>
        <v/>
      </c>
    </row>
    <row r="29">
      <c r="A29" s="6">
        <f>CATEGORIAS!$C$12</f>
        <v/>
      </c>
      <c r="B29" s="8">
        <f>SUMIFS(MOVIMIENTOS!$F:$F,MOVIMIENTOS!$A:$A,"&gt;="&amp;DATE(PORTADA!$B$2,1,1),MOVIMIENTOS!$A:$A,"&lt;="&amp;DATE(PORTADA!$B$2,12,31),MOVIMIENTOS!$D:$D,$A29)</f>
        <v/>
      </c>
      <c r="C29" s="9">
        <f>IFERROR(B29/SUM($B$28:$B$50),"")</f>
        <v/>
      </c>
      <c r="D29" s="8">
        <f>CATEGORIAS!$E$12*12</f>
        <v/>
      </c>
      <c r="E29" s="8">
        <f>D29-B29</f>
        <v/>
      </c>
      <c r="F29" s="6">
        <f>COUNTIFS(MOVIMIENTOS!$D:$D,$A29,MOVIMIENTOS!$A:$A,"&gt;="&amp;DATE(PORTADA!$B$2,1,1),MOVIMIENTOS!$A:$A,"&lt;="&amp;DATE(PORTADA!$B$2,12,31))</f>
        <v/>
      </c>
      <c r="G29" s="6">
        <f>CATEGORIAS!$D$12</f>
        <v/>
      </c>
      <c r="H29" s="8">
        <f>IF(G29="GASTO",B29,"")</f>
        <v/>
      </c>
    </row>
    <row r="30">
      <c r="A30" s="6">
        <f>CATEGORIAS!$C$13</f>
        <v/>
      </c>
      <c r="B30" s="8">
        <f>SUMIFS(MOVIMIENTOS!$F:$F,MOVIMIENTOS!$A:$A,"&gt;="&amp;DATE(PORTADA!$B$2,1,1),MOVIMIENTOS!$A:$A,"&lt;="&amp;DATE(PORTADA!$B$2,12,31),MOVIMIENTOS!$D:$D,$A30)</f>
        <v/>
      </c>
      <c r="C30" s="9">
        <f>IFERROR(B30/SUM($B$28:$B$50),"")</f>
        <v/>
      </c>
      <c r="D30" s="8">
        <f>CATEGORIAS!$E$13*12</f>
        <v/>
      </c>
      <c r="E30" s="8">
        <f>D30-B30</f>
        <v/>
      </c>
      <c r="F30" s="6">
        <f>COUNTIFS(MOVIMIENTOS!$D:$D,$A30,MOVIMIENTOS!$A:$A,"&gt;="&amp;DATE(PORTADA!$B$2,1,1),MOVIMIENTOS!$A:$A,"&lt;="&amp;DATE(PORTADA!$B$2,12,31))</f>
        <v/>
      </c>
      <c r="G30" s="6">
        <f>CATEGORIAS!$D$13</f>
        <v/>
      </c>
      <c r="H30" s="8">
        <f>IF(G30="GASTO",B30,"")</f>
        <v/>
      </c>
    </row>
    <row r="31">
      <c r="A31" s="6">
        <f>CATEGORIAS!$C$14</f>
        <v/>
      </c>
      <c r="B31" s="8">
        <f>SUMIFS(MOVIMIENTOS!$F:$F,MOVIMIENTOS!$A:$A,"&gt;="&amp;DATE(PORTADA!$B$2,1,1),MOVIMIENTOS!$A:$A,"&lt;="&amp;DATE(PORTADA!$B$2,12,31),MOVIMIENTOS!$D:$D,$A31)</f>
        <v/>
      </c>
      <c r="C31" s="9">
        <f>IFERROR(B31/SUM($B$28:$B$50),"")</f>
        <v/>
      </c>
      <c r="D31" s="8">
        <f>CATEGORIAS!$E$14*12</f>
        <v/>
      </c>
      <c r="E31" s="8">
        <f>D31-B31</f>
        <v/>
      </c>
      <c r="F31" s="6">
        <f>COUNTIFS(MOVIMIENTOS!$D:$D,$A31,MOVIMIENTOS!$A:$A,"&gt;="&amp;DATE(PORTADA!$B$2,1,1),MOVIMIENTOS!$A:$A,"&lt;="&amp;DATE(PORTADA!$B$2,12,31))</f>
        <v/>
      </c>
      <c r="G31" s="6">
        <f>CATEGORIAS!$D$14</f>
        <v/>
      </c>
      <c r="H31" s="8">
        <f>IF(G31="GASTO",B31,"")</f>
        <v/>
      </c>
    </row>
    <row r="32">
      <c r="A32" s="6">
        <f>CATEGORIAS!$C$15</f>
        <v/>
      </c>
      <c r="B32" s="8">
        <f>SUMIFS(MOVIMIENTOS!$F:$F,MOVIMIENTOS!$A:$A,"&gt;="&amp;DATE(PORTADA!$B$2,1,1),MOVIMIENTOS!$A:$A,"&lt;="&amp;DATE(PORTADA!$B$2,12,31),MOVIMIENTOS!$D:$D,$A32)</f>
        <v/>
      </c>
      <c r="C32" s="9">
        <f>IFERROR(B32/SUM($B$28:$B$50),"")</f>
        <v/>
      </c>
      <c r="D32" s="8">
        <f>CATEGORIAS!$E$15*12</f>
        <v/>
      </c>
      <c r="E32" s="8">
        <f>D32-B32</f>
        <v/>
      </c>
      <c r="F32" s="6">
        <f>COUNTIFS(MOVIMIENTOS!$D:$D,$A32,MOVIMIENTOS!$A:$A,"&gt;="&amp;DATE(PORTADA!$B$2,1,1),MOVIMIENTOS!$A:$A,"&lt;="&amp;DATE(PORTADA!$B$2,12,31))</f>
        <v/>
      </c>
      <c r="G32" s="6">
        <f>CATEGORIAS!$D$15</f>
        <v/>
      </c>
      <c r="H32" s="8">
        <f>IF(G32="GASTO",B32,"")</f>
        <v/>
      </c>
    </row>
    <row r="33">
      <c r="A33" s="6">
        <f>CATEGORIAS!$C$16</f>
        <v/>
      </c>
      <c r="B33" s="8">
        <f>SUMIFS(MOVIMIENTOS!$F:$F,MOVIMIENTOS!$A:$A,"&gt;="&amp;DATE(PORTADA!$B$2,1,1),MOVIMIENTOS!$A:$A,"&lt;="&amp;DATE(PORTADA!$B$2,12,31),MOVIMIENTOS!$D:$D,$A33)</f>
        <v/>
      </c>
      <c r="C33" s="9">
        <f>IFERROR(B33/SUM($B$28:$B$50),"")</f>
        <v/>
      </c>
      <c r="D33" s="8">
        <f>CATEGORIAS!$E$16*12</f>
        <v/>
      </c>
      <c r="E33" s="8">
        <f>D33-B33</f>
        <v/>
      </c>
      <c r="F33" s="6">
        <f>COUNTIFS(MOVIMIENTOS!$D:$D,$A33,MOVIMIENTOS!$A:$A,"&gt;="&amp;DATE(PORTADA!$B$2,1,1),MOVIMIENTOS!$A:$A,"&lt;="&amp;DATE(PORTADA!$B$2,12,31))</f>
        <v/>
      </c>
      <c r="G33" s="6">
        <f>CATEGORIAS!$D$16</f>
        <v/>
      </c>
      <c r="H33" s="8">
        <f>IF(G33="GASTO",B33,"")</f>
        <v/>
      </c>
    </row>
    <row r="34">
      <c r="A34" s="6">
        <f>CATEGORIAS!$C$17</f>
        <v/>
      </c>
      <c r="B34" s="8">
        <f>SUMIFS(MOVIMIENTOS!$F:$F,MOVIMIENTOS!$A:$A,"&gt;="&amp;DATE(PORTADA!$B$2,1,1),MOVIMIENTOS!$A:$A,"&lt;="&amp;DATE(PORTADA!$B$2,12,31),MOVIMIENTOS!$D:$D,$A34)</f>
        <v/>
      </c>
      <c r="C34" s="9">
        <f>IFERROR(B34/SUM($B$28:$B$50),"")</f>
        <v/>
      </c>
      <c r="D34" s="8">
        <f>CATEGORIAS!$E$17*12</f>
        <v/>
      </c>
      <c r="E34" s="8">
        <f>D34-B34</f>
        <v/>
      </c>
      <c r="F34" s="6">
        <f>COUNTIFS(MOVIMIENTOS!$D:$D,$A34,MOVIMIENTOS!$A:$A,"&gt;="&amp;DATE(PORTADA!$B$2,1,1),MOVIMIENTOS!$A:$A,"&lt;="&amp;DATE(PORTADA!$B$2,12,31))</f>
        <v/>
      </c>
      <c r="G34" s="6">
        <f>CATEGORIAS!$D$17</f>
        <v/>
      </c>
      <c r="H34" s="8">
        <f>IF(G34="GASTO",B34,"")</f>
        <v/>
      </c>
    </row>
    <row r="35">
      <c r="A35" s="6">
        <f>CATEGORIAS!$C$18</f>
        <v/>
      </c>
      <c r="B35" s="8">
        <f>SUMIFS(MOVIMIENTOS!$F:$F,MOVIMIENTOS!$A:$A,"&gt;="&amp;DATE(PORTADA!$B$2,1,1),MOVIMIENTOS!$A:$A,"&lt;="&amp;DATE(PORTADA!$B$2,12,31),MOVIMIENTOS!$D:$D,$A35)</f>
        <v/>
      </c>
      <c r="C35" s="9">
        <f>IFERROR(B35/SUM($B$28:$B$50),"")</f>
        <v/>
      </c>
      <c r="D35" s="8">
        <f>CATEGORIAS!$E$18*12</f>
        <v/>
      </c>
      <c r="E35" s="8">
        <f>D35-B35</f>
        <v/>
      </c>
      <c r="F35" s="6">
        <f>COUNTIFS(MOVIMIENTOS!$D:$D,$A35,MOVIMIENTOS!$A:$A,"&gt;="&amp;DATE(PORTADA!$B$2,1,1),MOVIMIENTOS!$A:$A,"&lt;="&amp;DATE(PORTADA!$B$2,12,31))</f>
        <v/>
      </c>
      <c r="G35" s="6">
        <f>CATEGORIAS!$D$18</f>
        <v/>
      </c>
      <c r="H35" s="8">
        <f>IF(G35="GASTO",B35,"")</f>
        <v/>
      </c>
    </row>
    <row r="36">
      <c r="A36" s="6">
        <f>CATEGORIAS!$C$19</f>
        <v/>
      </c>
      <c r="B36" s="8">
        <f>SUMIFS(MOVIMIENTOS!$F:$F,MOVIMIENTOS!$A:$A,"&gt;="&amp;DATE(PORTADA!$B$2,1,1),MOVIMIENTOS!$A:$A,"&lt;="&amp;DATE(PORTADA!$B$2,12,31),MOVIMIENTOS!$D:$D,$A36)</f>
        <v/>
      </c>
      <c r="C36" s="9">
        <f>IFERROR(B36/SUM($B$28:$B$50),"")</f>
        <v/>
      </c>
      <c r="D36" s="8">
        <f>CATEGORIAS!$E$19*12</f>
        <v/>
      </c>
      <c r="E36" s="8">
        <f>D36-B36</f>
        <v/>
      </c>
      <c r="F36" s="6">
        <f>COUNTIFS(MOVIMIENTOS!$D:$D,$A36,MOVIMIENTOS!$A:$A,"&gt;="&amp;DATE(PORTADA!$B$2,1,1),MOVIMIENTOS!$A:$A,"&lt;="&amp;DATE(PORTADA!$B$2,12,31))</f>
        <v/>
      </c>
      <c r="G36" s="6">
        <f>CATEGORIAS!$D$19</f>
        <v/>
      </c>
      <c r="H36" s="8">
        <f>IF(G36="GASTO",B36,"")</f>
        <v/>
      </c>
    </row>
    <row r="37">
      <c r="A37" s="6">
        <f>CATEGORIAS!$C$20</f>
        <v/>
      </c>
      <c r="B37" s="8">
        <f>SUMIFS(MOVIMIENTOS!$F:$F,MOVIMIENTOS!$A:$A,"&gt;="&amp;DATE(PORTADA!$B$2,1,1),MOVIMIENTOS!$A:$A,"&lt;="&amp;DATE(PORTADA!$B$2,12,31),MOVIMIENTOS!$D:$D,$A37)</f>
        <v/>
      </c>
      <c r="C37" s="9">
        <f>IFERROR(B37/SUM($B$28:$B$50),"")</f>
        <v/>
      </c>
      <c r="D37" s="8">
        <f>CATEGORIAS!$E$20*12</f>
        <v/>
      </c>
      <c r="E37" s="8">
        <f>D37-B37</f>
        <v/>
      </c>
      <c r="F37" s="6">
        <f>COUNTIFS(MOVIMIENTOS!$D:$D,$A37,MOVIMIENTOS!$A:$A,"&gt;="&amp;DATE(PORTADA!$B$2,1,1),MOVIMIENTOS!$A:$A,"&lt;="&amp;DATE(PORTADA!$B$2,12,31))</f>
        <v/>
      </c>
      <c r="G37" s="6">
        <f>CATEGORIAS!$D$20</f>
        <v/>
      </c>
      <c r="H37" s="8">
        <f>IF(G37="GASTO",B37,"")</f>
        <v/>
      </c>
    </row>
    <row r="38">
      <c r="A38" s="6">
        <f>CATEGORIAS!$C$21</f>
        <v/>
      </c>
      <c r="B38" s="8">
        <f>SUMIFS(MOVIMIENTOS!$F:$F,MOVIMIENTOS!$A:$A,"&gt;="&amp;DATE(PORTADA!$B$2,1,1),MOVIMIENTOS!$A:$A,"&lt;="&amp;DATE(PORTADA!$B$2,12,31),MOVIMIENTOS!$D:$D,$A38)</f>
        <v/>
      </c>
      <c r="C38" s="9">
        <f>IFERROR(B38/SUM($B$28:$B$50),"")</f>
        <v/>
      </c>
      <c r="D38" s="8">
        <f>CATEGORIAS!$E$21*12</f>
        <v/>
      </c>
      <c r="E38" s="8">
        <f>D38-B38</f>
        <v/>
      </c>
      <c r="F38" s="6">
        <f>COUNTIFS(MOVIMIENTOS!$D:$D,$A38,MOVIMIENTOS!$A:$A,"&gt;="&amp;DATE(PORTADA!$B$2,1,1),MOVIMIENTOS!$A:$A,"&lt;="&amp;DATE(PORTADA!$B$2,12,31))</f>
        <v/>
      </c>
      <c r="G38" s="6">
        <f>CATEGORIAS!$D$21</f>
        <v/>
      </c>
      <c r="H38" s="8">
        <f>IF(G38="GASTO",B38,"")</f>
        <v/>
      </c>
    </row>
    <row r="39">
      <c r="A39" s="6">
        <f>CATEGORIAS!$C$22</f>
        <v/>
      </c>
      <c r="B39" s="8">
        <f>SUMIFS(MOVIMIENTOS!$F:$F,MOVIMIENTOS!$A:$A,"&gt;="&amp;DATE(PORTADA!$B$2,1,1),MOVIMIENTOS!$A:$A,"&lt;="&amp;DATE(PORTADA!$B$2,12,31),MOVIMIENTOS!$D:$D,$A39)</f>
        <v/>
      </c>
      <c r="C39" s="9">
        <f>IFERROR(B39/SUM($B$28:$B$50),"")</f>
        <v/>
      </c>
      <c r="D39" s="8">
        <f>CATEGORIAS!$E$22*12</f>
        <v/>
      </c>
      <c r="E39" s="8">
        <f>D39-B39</f>
        <v/>
      </c>
      <c r="F39" s="6">
        <f>COUNTIFS(MOVIMIENTOS!$D:$D,$A39,MOVIMIENTOS!$A:$A,"&gt;="&amp;DATE(PORTADA!$B$2,1,1),MOVIMIENTOS!$A:$A,"&lt;="&amp;DATE(PORTADA!$B$2,12,31))</f>
        <v/>
      </c>
      <c r="G39" s="6">
        <f>CATEGORIAS!$D$22</f>
        <v/>
      </c>
      <c r="H39" s="8">
        <f>IF(G39="GASTO",B39,"")</f>
        <v/>
      </c>
    </row>
    <row r="40">
      <c r="A40" s="6">
        <f>CATEGORIAS!$C$23</f>
        <v/>
      </c>
      <c r="B40" s="8">
        <f>SUMIFS(MOVIMIENTOS!$F:$F,MOVIMIENTOS!$A:$A,"&gt;="&amp;DATE(PORTADA!$B$2,1,1),MOVIMIENTOS!$A:$A,"&lt;="&amp;DATE(PORTADA!$B$2,12,31),MOVIMIENTOS!$D:$D,$A40)</f>
        <v/>
      </c>
      <c r="C40" s="9">
        <f>IFERROR(B40/SUM($B$28:$B$50),"")</f>
        <v/>
      </c>
      <c r="D40" s="8">
        <f>CATEGORIAS!$E$23*12</f>
        <v/>
      </c>
      <c r="E40" s="8">
        <f>D40-B40</f>
        <v/>
      </c>
      <c r="F40" s="6">
        <f>COUNTIFS(MOVIMIENTOS!$D:$D,$A40,MOVIMIENTOS!$A:$A,"&gt;="&amp;DATE(PORTADA!$B$2,1,1),MOVIMIENTOS!$A:$A,"&lt;="&amp;DATE(PORTADA!$B$2,12,31))</f>
        <v/>
      </c>
      <c r="G40" s="6">
        <f>CATEGORIAS!$D$23</f>
        <v/>
      </c>
      <c r="H40" s="8">
        <f>IF(G40="GASTO",B40,"")</f>
        <v/>
      </c>
    </row>
    <row r="41">
      <c r="A41" s="6">
        <f>CATEGORIAS!$C$24</f>
        <v/>
      </c>
      <c r="B41" s="8">
        <f>SUMIFS(MOVIMIENTOS!$F:$F,MOVIMIENTOS!$A:$A,"&gt;="&amp;DATE(PORTADA!$B$2,1,1),MOVIMIENTOS!$A:$A,"&lt;="&amp;DATE(PORTADA!$B$2,12,31),MOVIMIENTOS!$D:$D,$A41)</f>
        <v/>
      </c>
      <c r="C41" s="9">
        <f>IFERROR(B41/SUM($B$28:$B$50),"")</f>
        <v/>
      </c>
      <c r="D41" s="8">
        <f>CATEGORIAS!$E$24*12</f>
        <v/>
      </c>
      <c r="E41" s="8">
        <f>D41-B41</f>
        <v/>
      </c>
      <c r="F41" s="6">
        <f>COUNTIFS(MOVIMIENTOS!$D:$D,$A41,MOVIMIENTOS!$A:$A,"&gt;="&amp;DATE(PORTADA!$B$2,1,1),MOVIMIENTOS!$A:$A,"&lt;="&amp;DATE(PORTADA!$B$2,12,31))</f>
        <v/>
      </c>
      <c r="G41" s="6">
        <f>CATEGORIAS!$D$24</f>
        <v/>
      </c>
      <c r="H41" s="8">
        <f>IF(G41="GASTO",B41,"")</f>
        <v/>
      </c>
    </row>
    <row r="42">
      <c r="A42" s="6">
        <f>CATEGORIAS!$C$25</f>
        <v/>
      </c>
      <c r="B42" s="8">
        <f>SUMIFS(MOVIMIENTOS!$F:$F,MOVIMIENTOS!$A:$A,"&gt;="&amp;DATE(PORTADA!$B$2,1,1),MOVIMIENTOS!$A:$A,"&lt;="&amp;DATE(PORTADA!$B$2,12,31),MOVIMIENTOS!$D:$D,$A42)</f>
        <v/>
      </c>
      <c r="C42" s="9">
        <f>IFERROR(B42/SUM($B$28:$B$50),"")</f>
        <v/>
      </c>
      <c r="D42" s="8">
        <f>CATEGORIAS!$E$25*12</f>
        <v/>
      </c>
      <c r="E42" s="8">
        <f>D42-B42</f>
        <v/>
      </c>
      <c r="F42" s="6">
        <f>COUNTIFS(MOVIMIENTOS!$D:$D,$A42,MOVIMIENTOS!$A:$A,"&gt;="&amp;DATE(PORTADA!$B$2,1,1),MOVIMIENTOS!$A:$A,"&lt;="&amp;DATE(PORTADA!$B$2,12,31))</f>
        <v/>
      </c>
      <c r="G42" s="6">
        <f>CATEGORIAS!$D$25</f>
        <v/>
      </c>
      <c r="H42" s="8">
        <f>IF(G42="GASTO",B42,"")</f>
        <v/>
      </c>
    </row>
    <row r="43">
      <c r="A43" s="6">
        <f>CATEGORIAS!$C$26</f>
        <v/>
      </c>
      <c r="B43" s="8">
        <f>SUMIFS(MOVIMIENTOS!$F:$F,MOVIMIENTOS!$A:$A,"&gt;="&amp;DATE(PORTADA!$B$2,1,1),MOVIMIENTOS!$A:$A,"&lt;="&amp;DATE(PORTADA!$B$2,12,31),MOVIMIENTOS!$D:$D,$A43)</f>
        <v/>
      </c>
      <c r="C43" s="9">
        <f>IFERROR(B43/SUM($B$28:$B$50),"")</f>
        <v/>
      </c>
      <c r="D43" s="8">
        <f>CATEGORIAS!$E$26*12</f>
        <v/>
      </c>
      <c r="E43" s="8">
        <f>D43-B43</f>
        <v/>
      </c>
      <c r="F43" s="6">
        <f>COUNTIFS(MOVIMIENTOS!$D:$D,$A43,MOVIMIENTOS!$A:$A,"&gt;="&amp;DATE(PORTADA!$B$2,1,1),MOVIMIENTOS!$A:$A,"&lt;="&amp;DATE(PORTADA!$B$2,12,31))</f>
        <v/>
      </c>
      <c r="G43" s="6">
        <f>CATEGORIAS!$D$26</f>
        <v/>
      </c>
      <c r="H43" s="8">
        <f>IF(G43="GASTO",B43,"")</f>
        <v/>
      </c>
    </row>
    <row r="44">
      <c r="A44" s="6">
        <f>CATEGORIAS!$C$27</f>
        <v/>
      </c>
      <c r="B44" s="8">
        <f>SUMIFS(MOVIMIENTOS!$F:$F,MOVIMIENTOS!$A:$A,"&gt;="&amp;DATE(PORTADA!$B$2,1,1),MOVIMIENTOS!$A:$A,"&lt;="&amp;DATE(PORTADA!$B$2,12,31),MOVIMIENTOS!$D:$D,$A44)</f>
        <v/>
      </c>
      <c r="C44" s="9">
        <f>IFERROR(B44/SUM($B$28:$B$50),"")</f>
        <v/>
      </c>
      <c r="D44" s="8">
        <f>CATEGORIAS!$E$27*12</f>
        <v/>
      </c>
      <c r="E44" s="8">
        <f>D44-B44</f>
        <v/>
      </c>
      <c r="F44" s="6">
        <f>COUNTIFS(MOVIMIENTOS!$D:$D,$A44,MOVIMIENTOS!$A:$A,"&gt;="&amp;DATE(PORTADA!$B$2,1,1),MOVIMIENTOS!$A:$A,"&lt;="&amp;DATE(PORTADA!$B$2,12,31))</f>
        <v/>
      </c>
      <c r="G44" s="6">
        <f>CATEGORIAS!$D$27</f>
        <v/>
      </c>
      <c r="H44" s="8">
        <f>IF(G44="GASTO",B44,"")</f>
        <v/>
      </c>
    </row>
    <row r="45">
      <c r="A45" s="6">
        <f>CATEGORIAS!$C$28</f>
        <v/>
      </c>
      <c r="B45" s="8">
        <f>SUMIFS(MOVIMIENTOS!$F:$F,MOVIMIENTOS!$A:$A,"&gt;="&amp;DATE(PORTADA!$B$2,1,1),MOVIMIENTOS!$A:$A,"&lt;="&amp;DATE(PORTADA!$B$2,12,31),MOVIMIENTOS!$D:$D,$A45)</f>
        <v/>
      </c>
      <c r="C45" s="9">
        <f>IFERROR(B45/SUM($B$28:$B$50),"")</f>
        <v/>
      </c>
      <c r="D45" s="8">
        <f>CATEGORIAS!$E$28*12</f>
        <v/>
      </c>
      <c r="E45" s="8">
        <f>D45-B45</f>
        <v/>
      </c>
      <c r="F45" s="6">
        <f>COUNTIFS(MOVIMIENTOS!$D:$D,$A45,MOVIMIENTOS!$A:$A,"&gt;="&amp;DATE(PORTADA!$B$2,1,1),MOVIMIENTOS!$A:$A,"&lt;="&amp;DATE(PORTADA!$B$2,12,31))</f>
        <v/>
      </c>
      <c r="G45" s="6">
        <f>CATEGORIAS!$D$28</f>
        <v/>
      </c>
      <c r="H45" s="8">
        <f>IF(G45="GASTO",B45,"")</f>
        <v/>
      </c>
    </row>
    <row r="46">
      <c r="A46" s="6">
        <f>CATEGORIAS!$C$29</f>
        <v/>
      </c>
      <c r="B46" s="8">
        <f>SUMIFS(MOVIMIENTOS!$F:$F,MOVIMIENTOS!$A:$A,"&gt;="&amp;DATE(PORTADA!$B$2,1,1),MOVIMIENTOS!$A:$A,"&lt;="&amp;DATE(PORTADA!$B$2,12,31),MOVIMIENTOS!$D:$D,$A46)</f>
        <v/>
      </c>
      <c r="C46" s="9">
        <f>IFERROR(B46/SUM($B$28:$B$50),"")</f>
        <v/>
      </c>
      <c r="D46" s="8">
        <f>CATEGORIAS!$E$29*12</f>
        <v/>
      </c>
      <c r="E46" s="8">
        <f>D46-B46</f>
        <v/>
      </c>
      <c r="F46" s="6">
        <f>COUNTIFS(MOVIMIENTOS!$D:$D,$A46,MOVIMIENTOS!$A:$A,"&gt;="&amp;DATE(PORTADA!$B$2,1,1),MOVIMIENTOS!$A:$A,"&lt;="&amp;DATE(PORTADA!$B$2,12,31))</f>
        <v/>
      </c>
      <c r="G46" s="6">
        <f>CATEGORIAS!$D$29</f>
        <v/>
      </c>
      <c r="H46" s="8">
        <f>IF(G46="GASTO",B46,"")</f>
        <v/>
      </c>
    </row>
    <row r="47">
      <c r="A47" s="6">
        <f>CATEGORIAS!$C$30</f>
        <v/>
      </c>
      <c r="B47" s="8">
        <f>SUMIFS(MOVIMIENTOS!$F:$F,MOVIMIENTOS!$A:$A,"&gt;="&amp;DATE(PORTADA!$B$2,1,1),MOVIMIENTOS!$A:$A,"&lt;="&amp;DATE(PORTADA!$B$2,12,31),MOVIMIENTOS!$D:$D,$A47)</f>
        <v/>
      </c>
      <c r="C47" s="9">
        <f>IFERROR(B47/SUM($B$28:$B$50),"")</f>
        <v/>
      </c>
      <c r="D47" s="8">
        <f>CATEGORIAS!$E$30*12</f>
        <v/>
      </c>
      <c r="E47" s="8">
        <f>D47-B47</f>
        <v/>
      </c>
      <c r="F47" s="6">
        <f>COUNTIFS(MOVIMIENTOS!$D:$D,$A47,MOVIMIENTOS!$A:$A,"&gt;="&amp;DATE(PORTADA!$B$2,1,1),MOVIMIENTOS!$A:$A,"&lt;="&amp;DATE(PORTADA!$B$2,12,31))</f>
        <v/>
      </c>
      <c r="G47" s="6">
        <f>CATEGORIAS!$D$30</f>
        <v/>
      </c>
      <c r="H47" s="8">
        <f>IF(G47="GASTO",B47,"")</f>
        <v/>
      </c>
    </row>
    <row r="48">
      <c r="A48" s="6">
        <f>CATEGORIAS!$C$31</f>
        <v/>
      </c>
      <c r="B48" s="8">
        <f>SUMIFS(MOVIMIENTOS!$F:$F,MOVIMIENTOS!$A:$A,"&gt;="&amp;DATE(PORTADA!$B$2,1,1),MOVIMIENTOS!$A:$A,"&lt;="&amp;DATE(PORTADA!$B$2,12,31),MOVIMIENTOS!$D:$D,$A48)</f>
        <v/>
      </c>
      <c r="C48" s="9">
        <f>IFERROR(B48/SUM($B$28:$B$50),"")</f>
        <v/>
      </c>
      <c r="D48" s="8">
        <f>CATEGORIAS!$E$31*12</f>
        <v/>
      </c>
      <c r="E48" s="8">
        <f>D48-B48</f>
        <v/>
      </c>
      <c r="F48" s="6">
        <f>COUNTIFS(MOVIMIENTOS!$D:$D,$A48,MOVIMIENTOS!$A:$A,"&gt;="&amp;DATE(PORTADA!$B$2,1,1),MOVIMIENTOS!$A:$A,"&lt;="&amp;DATE(PORTADA!$B$2,12,31))</f>
        <v/>
      </c>
      <c r="G48" s="6">
        <f>CATEGORIAS!$D$31</f>
        <v/>
      </c>
      <c r="H48" s="8">
        <f>IF(G48="GASTO",B48,"")</f>
        <v/>
      </c>
    </row>
    <row r="49">
      <c r="A49" s="6">
        <f>CATEGORIAS!$C$32</f>
        <v/>
      </c>
      <c r="B49" s="8">
        <f>SUMIFS(MOVIMIENTOS!$F:$F,MOVIMIENTOS!$A:$A,"&gt;="&amp;DATE(PORTADA!$B$2,1,1),MOVIMIENTOS!$A:$A,"&lt;="&amp;DATE(PORTADA!$B$2,12,31),MOVIMIENTOS!$D:$D,$A49)</f>
        <v/>
      </c>
      <c r="C49" s="9">
        <f>IFERROR(B49/SUM($B$28:$B$50),"")</f>
        <v/>
      </c>
      <c r="D49" s="8">
        <f>CATEGORIAS!$E$32*12</f>
        <v/>
      </c>
      <c r="E49" s="8">
        <f>D49-B49</f>
        <v/>
      </c>
      <c r="F49" s="6">
        <f>COUNTIFS(MOVIMIENTOS!$D:$D,$A49,MOVIMIENTOS!$A:$A,"&gt;="&amp;DATE(PORTADA!$B$2,1,1),MOVIMIENTOS!$A:$A,"&lt;="&amp;DATE(PORTADA!$B$2,12,31))</f>
        <v/>
      </c>
      <c r="G49" s="6">
        <f>CATEGORIAS!$D$32</f>
        <v/>
      </c>
      <c r="H49" s="8">
        <f>IF(G49="GASTO",B49,"")</f>
        <v/>
      </c>
    </row>
    <row r="50">
      <c r="A50" s="6">
        <f>CATEGORIAS!$C$33</f>
        <v/>
      </c>
      <c r="B50" s="8">
        <f>SUMIFS(MOVIMIENTOS!$F:$F,MOVIMIENTOS!$A:$A,"&gt;="&amp;DATE(PORTADA!$B$2,1,1),MOVIMIENTOS!$A:$A,"&lt;="&amp;DATE(PORTADA!$B$2,12,31),MOVIMIENTOS!$D:$D,$A50)</f>
        <v/>
      </c>
      <c r="C50" s="9">
        <f>IFERROR(B50/SUM($B$28:$B$50),"")</f>
        <v/>
      </c>
      <c r="D50" s="8">
        <f>CATEGORIAS!$E$33*12</f>
        <v/>
      </c>
      <c r="E50" s="8">
        <f>D50-B50</f>
        <v/>
      </c>
      <c r="F50" s="6">
        <f>COUNTIFS(MOVIMIENTOS!$D:$D,$A50,MOVIMIENTOS!$A:$A,"&gt;="&amp;DATE(PORTADA!$B$2,1,1),MOVIMIENTOS!$A:$A,"&lt;="&amp;DATE(PORTADA!$B$2,12,31))</f>
        <v/>
      </c>
      <c r="G50" s="6">
        <f>CATEGORIAS!$D$33</f>
        <v/>
      </c>
      <c r="H50" s="8">
        <f>IF(G50="GASTO",B50,"")</f>
        <v/>
      </c>
    </row>
    <row r="52">
      <c r="A52" s="2" t="inlineStr">
        <is>
          <t>4. LAS CINCO QUE MÁS PESAN</t>
        </is>
      </c>
      <c r="B52" s="4" t="inlineStr">
        <is>
          <t>Solo gasto de verdad: el ahorro y las cuotas no cuentan acá</t>
        </is>
      </c>
    </row>
    <row r="53">
      <c r="A53" s="7" t="inlineStr">
        <is>
          <t>PUESTO</t>
        </is>
      </c>
      <c r="B53" s="7" t="inlineStr">
        <is>
          <t>CATEGORÍA</t>
        </is>
      </c>
      <c r="C53" s="7" t="inlineStr">
        <is>
          <t>GASTO DEL AÑO</t>
        </is>
      </c>
      <c r="D53" s="7" t="inlineStr">
        <is>
          <t>% DEL TOTAL</t>
        </is>
      </c>
    </row>
    <row r="54">
      <c r="A54" s="6" t="n">
        <v>1</v>
      </c>
      <c r="B54" s="6">
        <f>IFERROR(INDEX($A$28:$A$50,MATCH(LARGE($H$28:$H$50,1),$H$28:$H$50,0)),"")</f>
        <v/>
      </c>
      <c r="C54" s="8">
        <f>IFERROR(LARGE($H$28:$H$50,1),0)</f>
        <v/>
      </c>
      <c r="D54" s="9">
        <f>IFERROR(C54/SUM($H$28:$H$50),"")</f>
        <v/>
      </c>
    </row>
    <row r="55">
      <c r="A55" s="6" t="n">
        <v>2</v>
      </c>
      <c r="B55" s="6">
        <f>IFERROR(INDEX($A$28:$A$50,MATCH(LARGE($H$28:$H$50,2),$H$28:$H$50,0)),"")</f>
        <v/>
      </c>
      <c r="C55" s="8">
        <f>IFERROR(LARGE($H$28:$H$50,2),0)</f>
        <v/>
      </c>
      <c r="D55" s="9">
        <f>IFERROR(C55/SUM($H$28:$H$50),"")</f>
        <v/>
      </c>
    </row>
    <row r="56">
      <c r="A56" s="6" t="n">
        <v>3</v>
      </c>
      <c r="B56" s="6">
        <f>IFERROR(INDEX($A$28:$A$50,MATCH(LARGE($H$28:$H$50,3),$H$28:$H$50,0)),"")</f>
        <v/>
      </c>
      <c r="C56" s="8">
        <f>IFERROR(LARGE($H$28:$H$50,3),0)</f>
        <v/>
      </c>
      <c r="D56" s="9">
        <f>IFERROR(C56/SUM($H$28:$H$50),"")</f>
        <v/>
      </c>
    </row>
    <row r="57">
      <c r="A57" s="6" t="n">
        <v>4</v>
      </c>
      <c r="B57" s="6">
        <f>IFERROR(INDEX($A$28:$A$50,MATCH(LARGE($H$28:$H$50,4),$H$28:$H$50,0)),"")</f>
        <v/>
      </c>
      <c r="C57" s="8">
        <f>IFERROR(LARGE($H$28:$H$50,4),0)</f>
        <v/>
      </c>
      <c r="D57" s="9">
        <f>IFERROR(C57/SUM($H$28:$H$50),"")</f>
        <v/>
      </c>
    </row>
    <row r="58">
      <c r="A58" s="6" t="n">
        <v>5</v>
      </c>
      <c r="B58" s="6">
        <f>IFERROR(INDEX($A$28:$A$50,MATCH(LARGE($H$28:$H$50,5),$H$28:$H$50,0)),"")</f>
        <v/>
      </c>
      <c r="C58" s="8">
        <f>IFERROR(LARGE($H$28:$H$50,5),0)</f>
        <v/>
      </c>
      <c r="D58" s="9">
        <f>IFERROR(C58/SUM($H$28:$H$50),"")</f>
        <v/>
      </c>
    </row>
    <row r="60">
      <c r="A60" s="2" t="inlineStr">
        <is>
          <t>5. GASTO HORMIGA</t>
        </is>
      </c>
      <c r="B60" s="4" t="inlineStr">
        <is>
          <t>Las compras chicas que por separado no duelen</t>
        </is>
      </c>
    </row>
    <row r="61">
      <c r="A61" t="inlineStr">
        <is>
          <t>Monto bajo el cual cuenta como hormiga</t>
        </is>
      </c>
      <c r="B61" s="16" t="n">
        <v>10000</v>
      </c>
      <c r="C61" s="4" t="inlineStr">
        <is>
          <t>Cámbialo si tu criterio es otro</t>
        </is>
      </c>
    </row>
    <row r="62">
      <c r="A62" s="6" t="inlineStr">
        <is>
          <t>Compras chicas en el año</t>
        </is>
      </c>
      <c r="B62" s="15">
        <f>COUNTIFS(MOVIMIENTOS!$F:$F,"&lt;"&amp;$B$61,MOVIMIENTOS!$F:$F,"&gt;0",MOVIMIENTOS!$B:$B,"EGRESO",MOVIMIENTOS!$A:$A,"&gt;="&amp;DATE(PORTADA!$B$2,1,1),MOVIMIENTOS!$A:$A,"&lt;="&amp;DATE(PORTADA!$B$2,12,31))</f>
        <v/>
      </c>
    </row>
    <row r="63">
      <c r="A63" s="6" t="inlineStr">
        <is>
          <t>Cuánto suman</t>
        </is>
      </c>
      <c r="B63" s="8">
        <f>SUMIFS(MOVIMIENTOS!$F:$F,MOVIMIENTOS!$F:$F,"&lt;"&amp;$B$61,MOVIMIENTOS!$B:$B,"EGRESO",MOVIMIENTOS!$A:$A,"&gt;="&amp;DATE(PORTADA!$B$2,1,1),MOVIMIENTOS!$A:$A,"&lt;="&amp;DATE(PORTADA!$B$2,12,31))</f>
        <v/>
      </c>
    </row>
    <row r="64">
      <c r="A64" s="6" t="inlineStr">
        <is>
          <t>Qué porcentaje del gasto son</t>
        </is>
      </c>
      <c r="B64" s="9">
        <f>IFERROR(B63/SUM($H$28:$H$50),"")</f>
        <v/>
      </c>
    </row>
    <row r="65">
      <c r="A65" s="6" t="inlineStr">
        <is>
          <t>Equivalen a este gasto fijo</t>
        </is>
      </c>
      <c r="B65" s="8">
        <f>IFERROR(B63/12,0)</f>
        <v/>
      </c>
    </row>
    <row r="67">
      <c r="A67" s="2" t="inlineStr">
        <is>
          <t>6. PRECIOS QUE VIGILO</t>
        </is>
      </c>
      <c r="B67" s="4" t="inlineStr">
        <is>
          <t>Escribe un producto y la planilla te dice cuánto subió</t>
        </is>
      </c>
    </row>
    <row r="68">
      <c r="A68" s="7" t="inlineStr">
        <is>
          <t>PRODUCTO (escríbelo tú)</t>
        </is>
      </c>
      <c r="B68" s="7" t="inlineStr">
        <is>
          <t>PRIMERA COMPRA</t>
        </is>
      </c>
      <c r="C68" s="7" t="inlineStr">
        <is>
          <t>ÚLTIMA COMPRA</t>
        </is>
      </c>
      <c r="D68" s="7" t="inlineStr">
        <is>
          <t>VARIACIÓN</t>
        </is>
      </c>
      <c r="E68" s="7" t="inlineStr">
        <is>
          <t>VECES COMPRADO</t>
        </is>
      </c>
      <c r="F68" s="7" t="inlineStr">
        <is>
          <t>GASTO TOTAL</t>
        </is>
      </c>
    </row>
    <row r="69">
      <c r="A69" s="5" t="n"/>
      <c r="B69" s="8">
        <f>IFERROR(INDEX(DETALLE!$F:$F,MATCH(1,INDEX((ISNUMBER(SEARCH($A69,DETALLE!$D:$D)))*(DETALLE!$D:$D&lt;&gt;""),0),0)),"")</f>
        <v/>
      </c>
      <c r="C69" s="8">
        <f>IFERROR(LOOKUP(2,1/(ISNUMBER(SEARCH($A69,DETALLE!$D:$D))*(DETALLE!$F:$F&gt;0)),DETALLE!$F:$F),"")</f>
        <v/>
      </c>
      <c r="D69" s="9">
        <f>IFERROR(C69/B69-1,"")</f>
        <v/>
      </c>
      <c r="E69" s="6">
        <f>IF($A69="","",SUMPRODUCT(--ISNUMBER(SEARCH($A69,DETALLE!$D$4:$D$500))))</f>
        <v/>
      </c>
      <c r="F69" s="8">
        <f>IF($A69="","",SUMPRODUCT(--ISNUMBER(SEARCH($A69,DETALLE!$D$4:$D$500)),DETALLE!$G$4:$G$500))</f>
        <v/>
      </c>
    </row>
    <row r="70">
      <c r="A70" s="5" t="n"/>
      <c r="B70" s="8">
        <f>IFERROR(INDEX(DETALLE!$F:$F,MATCH(1,INDEX((ISNUMBER(SEARCH($A70,DETALLE!$D:$D)))*(DETALLE!$D:$D&lt;&gt;""),0),0)),"")</f>
        <v/>
      </c>
      <c r="C70" s="8">
        <f>IFERROR(LOOKUP(2,1/(ISNUMBER(SEARCH($A70,DETALLE!$D:$D))*(DETALLE!$F:$F&gt;0)),DETALLE!$F:$F),"")</f>
        <v/>
      </c>
      <c r="D70" s="9">
        <f>IFERROR(C70/B70-1,"")</f>
        <v/>
      </c>
      <c r="E70" s="6">
        <f>IF($A70="","",SUMPRODUCT(--ISNUMBER(SEARCH($A70,DETALLE!$D$4:$D$500))))</f>
        <v/>
      </c>
      <c r="F70" s="8">
        <f>IF($A70="","",SUMPRODUCT(--ISNUMBER(SEARCH($A70,DETALLE!$D$4:$D$500)),DETALLE!$G$4:$G$500))</f>
        <v/>
      </c>
    </row>
    <row r="71">
      <c r="A71" s="5" t="n"/>
      <c r="B71" s="8">
        <f>IFERROR(INDEX(DETALLE!$F:$F,MATCH(1,INDEX((ISNUMBER(SEARCH($A71,DETALLE!$D:$D)))*(DETALLE!$D:$D&lt;&gt;""),0),0)),"")</f>
        <v/>
      </c>
      <c r="C71" s="8">
        <f>IFERROR(LOOKUP(2,1/(ISNUMBER(SEARCH($A71,DETALLE!$D:$D))*(DETALLE!$F:$F&gt;0)),DETALLE!$F:$F),"")</f>
        <v/>
      </c>
      <c r="D71" s="9">
        <f>IFERROR(C71/B71-1,"")</f>
        <v/>
      </c>
      <c r="E71" s="6">
        <f>IF($A71="","",SUMPRODUCT(--ISNUMBER(SEARCH($A71,DETALLE!$D$4:$D$500))))</f>
        <v/>
      </c>
      <c r="F71" s="8">
        <f>IF($A71="","",SUMPRODUCT(--ISNUMBER(SEARCH($A71,DETALLE!$D$4:$D$500)),DETALLE!$G$4:$G$500))</f>
        <v/>
      </c>
    </row>
    <row r="72">
      <c r="A72" s="5" t="n"/>
      <c r="B72" s="8">
        <f>IFERROR(INDEX(DETALLE!$F:$F,MATCH(1,INDEX((ISNUMBER(SEARCH($A72,DETALLE!$D:$D)))*(DETALLE!$D:$D&lt;&gt;""),0),0)),"")</f>
        <v/>
      </c>
      <c r="C72" s="8">
        <f>IFERROR(LOOKUP(2,1/(ISNUMBER(SEARCH($A72,DETALLE!$D:$D))*(DETALLE!$F:$F&gt;0)),DETALLE!$F:$F),"")</f>
        <v/>
      </c>
      <c r="D72" s="9">
        <f>IFERROR(C72/B72-1,"")</f>
        <v/>
      </c>
      <c r="E72" s="6">
        <f>IF($A72="","",SUMPRODUCT(--ISNUMBER(SEARCH($A72,DETALLE!$D$4:$D$500))))</f>
        <v/>
      </c>
      <c r="F72" s="8">
        <f>IF($A72="","",SUMPRODUCT(--ISNUMBER(SEARCH($A72,DETALLE!$D$4:$D$500)),DETALLE!$G$4:$G$500))</f>
        <v/>
      </c>
    </row>
    <row r="73">
      <c r="A73" s="5" t="n"/>
      <c r="B73" s="8">
        <f>IFERROR(INDEX(DETALLE!$F:$F,MATCH(1,INDEX((ISNUMBER(SEARCH($A73,DETALLE!$D:$D)))*(DETALLE!$D:$D&lt;&gt;""),0),0)),"")</f>
        <v/>
      </c>
      <c r="C73" s="8">
        <f>IFERROR(LOOKUP(2,1/(ISNUMBER(SEARCH($A73,DETALLE!$D:$D))*(DETALLE!$F:$F&gt;0)),DETALLE!$F:$F),"")</f>
        <v/>
      </c>
      <c r="D73" s="9">
        <f>IFERROR(C73/B73-1,"")</f>
        <v/>
      </c>
      <c r="E73" s="6">
        <f>IF($A73="","",SUMPRODUCT(--ISNUMBER(SEARCH($A73,DETALLE!$D$4:$D$500))))</f>
        <v/>
      </c>
      <c r="F73" s="8">
        <f>IF($A73="","",SUMPRODUCT(--ISNUMBER(SEARCH($A73,DETALLE!$D$4:$D$500)),DETALLE!$G$4:$G$500))</f>
        <v/>
      </c>
    </row>
    <row r="74">
      <c r="A74" s="5" t="n"/>
      <c r="B74" s="8">
        <f>IFERROR(INDEX(DETALLE!$F:$F,MATCH(1,INDEX((ISNUMBER(SEARCH($A74,DETALLE!$D:$D)))*(DETALLE!$D:$D&lt;&gt;""),0),0)),"")</f>
        <v/>
      </c>
      <c r="C74" s="8">
        <f>IFERROR(LOOKUP(2,1/(ISNUMBER(SEARCH($A74,DETALLE!$D:$D))*(DETALLE!$F:$F&gt;0)),DETALLE!$F:$F),"")</f>
        <v/>
      </c>
      <c r="D74" s="9">
        <f>IFERROR(C74/B74-1,"")</f>
        <v/>
      </c>
      <c r="E74" s="6">
        <f>IF($A74="","",SUMPRODUCT(--ISNUMBER(SEARCH($A74,DETALLE!$D$4:$D$500))))</f>
        <v/>
      </c>
      <c r="F74" s="8">
        <f>IF($A74="","",SUMPRODUCT(--ISNUMBER(SEARCH($A74,DETALLE!$D$4:$D$500)),DETALLE!$G$4:$G$500))</f>
        <v/>
      </c>
    </row>
    <row r="75">
      <c r="A75" s="5" t="n"/>
      <c r="B75" s="8">
        <f>IFERROR(INDEX(DETALLE!$F:$F,MATCH(1,INDEX((ISNUMBER(SEARCH($A75,DETALLE!$D:$D)))*(DETALLE!$D:$D&lt;&gt;""),0),0)),"")</f>
        <v/>
      </c>
      <c r="C75" s="8">
        <f>IFERROR(LOOKUP(2,1/(ISNUMBER(SEARCH($A75,DETALLE!$D:$D))*(DETALLE!$F:$F&gt;0)),DETALLE!$F:$F),"")</f>
        <v/>
      </c>
      <c r="D75" s="9">
        <f>IFERROR(C75/B75-1,"")</f>
        <v/>
      </c>
      <c r="E75" s="6">
        <f>IF($A75="","",SUMPRODUCT(--ISNUMBER(SEARCH($A75,DETALLE!$D$4:$D$500))))</f>
        <v/>
      </c>
      <c r="F75" s="8">
        <f>IF($A75="","",SUMPRODUCT(--ISNUMBER(SEARCH($A75,DETALLE!$D$4:$D$500)),DETALLE!$G$4:$G$500))</f>
        <v/>
      </c>
    </row>
    <row r="76">
      <c r="A76" s="5" t="n"/>
      <c r="B76" s="8">
        <f>IFERROR(INDEX(DETALLE!$F:$F,MATCH(1,INDEX((ISNUMBER(SEARCH($A76,DETALLE!$D:$D)))*(DETALLE!$D:$D&lt;&gt;""),0),0)),"")</f>
        <v/>
      </c>
      <c r="C76" s="8">
        <f>IFERROR(LOOKUP(2,1/(ISNUMBER(SEARCH($A76,DETALLE!$D:$D))*(DETALLE!$F:$F&gt;0)),DETALLE!$F:$F),"")</f>
        <v/>
      </c>
      <c r="D76" s="9">
        <f>IFERROR(C76/B76-1,"")</f>
        <v/>
      </c>
      <c r="E76" s="6">
        <f>IF($A76="","",SUMPRODUCT(--ISNUMBER(SEARCH($A76,DETALLE!$D$4:$D$500))))</f>
        <v/>
      </c>
      <c r="F76" s="8">
        <f>IF($A76="","",SUMPRODUCT(--ISNUMBER(SEARCH($A76,DETALLE!$D$4:$D$500)),DETALLE!$G$4:$G$500))</f>
        <v/>
      </c>
    </row>
    <row r="78">
      <c r="A78" s="2" t="inlineStr">
        <is>
          <t>7. QUÉ HACER CON ESTO</t>
        </is>
      </c>
      <c r="B78" s="4" t="inlineStr"/>
    </row>
    <row r="79" ht="26" customHeight="1">
      <c r="A79" s="12">
        <f>IF(B22=0,"Carga movimientos y esta hoja empieza a hablar.",IF(B23&lt;0,CONCATENATE("Tu ingreso promedio no alcanza a cubrir lo fijo. Te faltan ",TEXT(-B23,"$#,##0")," al mes."),CONCATENATE("Después de lo fijo te quedan ",TEXT(B23,"$#,##0")," al mes.")))</f>
        <v/>
      </c>
    </row>
    <row r="80" ht="26" customHeight="1">
      <c r="A80" s="12">
        <f>IFERROR(IF(AVERAGEIF(G5:G16,"&gt;0")&gt;0.3,CONCATENATE("Las cuotas se llevan el ",TEXT(AVERAGEIF(G5:G16,"&gt;0"),"0%")," de tu ingreso. Sobre 30% la deuda manda sobre el presupuesto."),CONCATENATE("Las cuotas se llevan el ",TEXT(AVERAGEIF(G5:G16,"&gt;0"),"0%")," de tu ingreso, que está en rango sano.")),"")</f>
        <v/>
      </c>
    </row>
    <row r="81" ht="26" customHeight="1">
      <c r="A81" s="12">
        <f>IFERROR(CONCATENATE("Tu mayor gasto es ",INDEX(B54:B58,1)," con ",TEXT(INDEX(C54:C58,1),"$#,##0"),", el ",TEXT(INDEX(D54:D58,1),"0%")," de todo lo que gastas."),"")</f>
        <v/>
      </c>
    </row>
    <row r="82" ht="26" customHeight="1">
      <c r="A82" s="12">
        <f>IFERROR(IF(B64=0,"",CONCATENATE("Las compras bajo ",TEXT($B$61,"$#,##0")," suman ",TEXT(B63,"$#,##0")," al año: el ",TEXT(B64,"0%")," de tu gasto. Es como tener un gasto fijo de ",TEXT(B65,"$#,##0")," al mes.")),"")</f>
        <v/>
      </c>
    </row>
    <row r="83" ht="26" customHeight="1">
      <c r="A83" s="12">
        <f>IFERROR(CONCATENATE("Estás ahorrando el ",TEXT(AVERAGEIF(F5:F16,"&lt;&gt;"),"0%")," de lo que entra."),"")</f>
        <v/>
      </c>
    </row>
  </sheetData>
  <mergeCells count="13">
    <mergeCell ref="A1:J1"/>
    <mergeCell ref="A82:F82"/>
    <mergeCell ref="B78:F78"/>
    <mergeCell ref="A80:F80"/>
    <mergeCell ref="A81:F81"/>
    <mergeCell ref="B3:F3"/>
    <mergeCell ref="A79:F79"/>
    <mergeCell ref="B60:F60"/>
    <mergeCell ref="B67:F67"/>
    <mergeCell ref="A83:F83"/>
    <mergeCell ref="B26:F26"/>
    <mergeCell ref="B18:F18"/>
    <mergeCell ref="B52:F5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0" customWidth="1" min="4" max="4"/>
    <col width="18" customWidth="1" min="5" max="5"/>
    <col width="80" customWidth="1" min="6" max="6"/>
  </cols>
  <sheetData>
    <row r="1" ht="30" customHeight="1">
      <c r="A1" s="1" t="inlineStr">
        <is>
          <t>CATEGORÍAS  ·  la lista maestra: aquí se agrega o se renombra</t>
        </is>
      </c>
    </row>
    <row r="2">
      <c r="A2" s="4" t="inlineStr">
        <is>
          <t>La columna PALABRAS CLAVE es lo que la app usa para adivinar la categoría de una boleta. Agrega ahí el comercio que no reconozca.</t>
        </is>
      </c>
    </row>
    <row r="3">
      <c r="A3" s="7" t="inlineStr">
        <is>
          <t>TIPO</t>
        </is>
      </c>
      <c r="B3" s="7" t="inlineStr">
        <is>
          <t>GRUPO</t>
        </is>
      </c>
      <c r="C3" s="7" t="inlineStr">
        <is>
          <t>CATEGORÍA</t>
        </is>
      </c>
      <c r="D3" s="7" t="inlineStr">
        <is>
          <t>CLASE</t>
        </is>
      </c>
      <c r="E3" s="7" t="inlineStr">
        <is>
          <t>PRESUPUESTO MES</t>
        </is>
      </c>
      <c r="F3" s="7" t="inlineStr">
        <is>
          <t>PALABRAS CLAVE</t>
        </is>
      </c>
    </row>
    <row r="4">
      <c r="A4" s="5" t="inlineStr">
        <is>
          <t>INGRESO</t>
        </is>
      </c>
      <c r="B4" s="5" t="inlineStr">
        <is>
          <t>SUELDO</t>
        </is>
      </c>
      <c r="C4" s="5" t="inlineStr">
        <is>
          <t>QUINCENA</t>
        </is>
      </c>
      <c r="D4" s="5" t="inlineStr">
        <is>
          <t>INGRESO</t>
        </is>
      </c>
      <c r="E4" s="16" t="n">
        <v>250000</v>
      </c>
      <c r="F4" s="5" t="n"/>
    </row>
    <row r="5">
      <c r="A5" s="5" t="inlineStr">
        <is>
          <t>INGRESO</t>
        </is>
      </c>
      <c r="B5" s="5" t="inlineStr">
        <is>
          <t>SUELDO</t>
        </is>
      </c>
      <c r="C5" s="5" t="inlineStr">
        <is>
          <t>PAGO FIN DE MES</t>
        </is>
      </c>
      <c r="D5" s="5" t="inlineStr">
        <is>
          <t>INGRESO</t>
        </is>
      </c>
      <c r="E5" s="16" t="n">
        <v>650000</v>
      </c>
      <c r="F5" s="5" t="n"/>
    </row>
    <row r="6">
      <c r="A6" s="5" t="inlineStr">
        <is>
          <t>INGRESO</t>
        </is>
      </c>
      <c r="B6" s="5" t="inlineStr">
        <is>
          <t>NEGOCIO</t>
        </is>
      </c>
      <c r="C6" s="5" t="inlineStr">
        <is>
          <t>EFFICIENTCHILE</t>
        </is>
      </c>
      <c r="D6" s="5" t="inlineStr">
        <is>
          <t>INGRESO</t>
        </is>
      </c>
      <c r="E6" s="16" t="n">
        <v>100000</v>
      </c>
      <c r="F6" s="5" t="n"/>
    </row>
    <row r="7">
      <c r="A7" s="5" t="inlineStr">
        <is>
          <t>INGRESO</t>
        </is>
      </c>
      <c r="B7" s="5" t="inlineStr">
        <is>
          <t>NEGOCIO</t>
        </is>
      </c>
      <c r="C7" s="5" t="inlineStr">
        <is>
          <t>VENTA DE ARTICULO</t>
        </is>
      </c>
      <c r="D7" s="5" t="inlineStr">
        <is>
          <t>INGRESO</t>
        </is>
      </c>
      <c r="E7" s="16" t="n">
        <v>0</v>
      </c>
      <c r="F7" s="5" t="n"/>
    </row>
    <row r="8">
      <c r="A8" s="5" t="inlineStr">
        <is>
          <t>INGRESO</t>
        </is>
      </c>
      <c r="B8" s="5" t="inlineStr">
        <is>
          <t>NEGOCIO</t>
        </is>
      </c>
      <c r="C8" s="5" t="inlineStr">
        <is>
          <t>VENTA DE SERVICIO</t>
        </is>
      </c>
      <c r="D8" s="5" t="inlineStr">
        <is>
          <t>INGRESO</t>
        </is>
      </c>
      <c r="E8" s="16" t="n">
        <v>0</v>
      </c>
      <c r="F8" s="5" t="n"/>
    </row>
    <row r="9">
      <c r="A9" s="5" t="inlineStr">
        <is>
          <t>INGRESO</t>
        </is>
      </c>
      <c r="B9" s="5" t="inlineStr">
        <is>
          <t>OTROS</t>
        </is>
      </c>
      <c r="C9" s="5" t="inlineStr">
        <is>
          <t>COBROS PENDIENTES</t>
        </is>
      </c>
      <c r="D9" s="5" t="inlineStr">
        <is>
          <t>INGRESO</t>
        </is>
      </c>
      <c r="E9" s="16" t="n">
        <v>0</v>
      </c>
      <c r="F9" s="5" t="n"/>
    </row>
    <row r="10">
      <c r="A10" s="5" t="inlineStr">
        <is>
          <t>INGRESO</t>
        </is>
      </c>
      <c r="B10" s="5" t="inlineStr">
        <is>
          <t>OTROS</t>
        </is>
      </c>
      <c r="C10" s="5" t="inlineStr">
        <is>
          <t>OTROS INGRESOS</t>
        </is>
      </c>
      <c r="D10" s="5" t="inlineStr">
        <is>
          <t>INGRESO</t>
        </is>
      </c>
      <c r="E10" s="16" t="n">
        <v>0</v>
      </c>
      <c r="F10" s="5" t="n"/>
    </row>
    <row r="11">
      <c r="A11" s="5" t="inlineStr">
        <is>
          <t>EGRESO</t>
        </is>
      </c>
      <c r="B11" s="5" t="inlineStr">
        <is>
          <t>CUENTAS PERSONALES</t>
        </is>
      </c>
      <c r="C11" s="5" t="inlineStr">
        <is>
          <t>PREST. AUTO</t>
        </is>
      </c>
      <c r="D11" s="5" t="inlineStr">
        <is>
          <t>DEUDA</t>
        </is>
      </c>
      <c r="E11" s="16" t="n">
        <v>118000</v>
      </c>
      <c r="F11" s="5" t="inlineStr"/>
    </row>
    <row r="12">
      <c r="A12" s="5" t="inlineStr">
        <is>
          <t>EGRESO</t>
        </is>
      </c>
      <c r="B12" s="5" t="inlineStr">
        <is>
          <t>CUENTAS PERSONALES</t>
        </is>
      </c>
      <c r="C12" s="5" t="inlineStr">
        <is>
          <t>AHORRO CASA</t>
        </is>
      </c>
      <c r="D12" s="5" t="inlineStr">
        <is>
          <t>AHORRO</t>
        </is>
      </c>
      <c r="E12" s="16" t="n">
        <v>370000</v>
      </c>
      <c r="F12" s="5" t="inlineStr"/>
    </row>
    <row r="13">
      <c r="A13" s="5" t="inlineStr">
        <is>
          <t>EGRESO</t>
        </is>
      </c>
      <c r="B13" s="5" t="inlineStr">
        <is>
          <t>HIJOS</t>
        </is>
      </c>
      <c r="C13" s="5" t="inlineStr">
        <is>
          <t>PENSIONES</t>
        </is>
      </c>
      <c r="D13" s="5" t="inlineStr">
        <is>
          <t>GASTO</t>
        </is>
      </c>
      <c r="E13" s="16" t="n">
        <v>240800</v>
      </c>
      <c r="F13" s="5" t="inlineStr"/>
    </row>
    <row r="14">
      <c r="A14" s="5" t="inlineStr">
        <is>
          <t>EGRESO</t>
        </is>
      </c>
      <c r="B14" s="5" t="inlineStr">
        <is>
          <t>HIJOS</t>
        </is>
      </c>
      <c r="C14" s="5" t="inlineStr">
        <is>
          <t>ROPA Y REGALOS</t>
        </is>
      </c>
      <c r="D14" s="5" t="inlineStr">
        <is>
          <t>GASTO</t>
        </is>
      </c>
      <c r="E14" s="16" t="n">
        <v>25000</v>
      </c>
      <c r="F14" s="5" t="inlineStr">
        <is>
          <t>JUGUETERIA, JUGUETE, REGALO</t>
        </is>
      </c>
    </row>
    <row r="15">
      <c r="A15" s="5" t="inlineStr">
        <is>
          <t>EGRESO</t>
        </is>
      </c>
      <c r="B15" s="5" t="inlineStr">
        <is>
          <t>HIJOS</t>
        </is>
      </c>
      <c r="C15" s="5" t="inlineStr">
        <is>
          <t>AHORRO EMERGENCIAS</t>
        </is>
      </c>
      <c r="D15" s="5" t="inlineStr">
        <is>
          <t>AHORRO</t>
        </is>
      </c>
      <c r="E15" s="16" t="n">
        <v>15000</v>
      </c>
      <c r="F15" s="5" t="inlineStr"/>
    </row>
    <row r="16">
      <c r="A16" s="5" t="inlineStr">
        <is>
          <t>EGRESO</t>
        </is>
      </c>
      <c r="B16" s="5" t="inlineStr">
        <is>
          <t>HIJOS</t>
        </is>
      </c>
      <c r="C16" s="5" t="inlineStr">
        <is>
          <t>SALIDAS CON FAMILIA</t>
        </is>
      </c>
      <c r="D16" s="5" t="inlineStr">
        <is>
          <t>GASTO</t>
        </is>
      </c>
      <c r="E16" s="16" t="n">
        <v>20000</v>
      </c>
      <c r="F16" s="5" t="inlineStr">
        <is>
          <t>CINEMARK, CINE HOYTS, CINEPLANET, ZOOLOGICO, MUSEO</t>
        </is>
      </c>
    </row>
    <row r="17">
      <c r="A17" s="5" t="inlineStr">
        <is>
          <t>EGRESO</t>
        </is>
      </c>
      <c r="B17" s="5" t="inlineStr">
        <is>
          <t>CASA</t>
        </is>
      </c>
      <c r="C17" s="5" t="inlineStr">
        <is>
          <t>COMIDA CASA</t>
        </is>
      </c>
      <c r="D17" s="5" t="inlineStr">
        <is>
          <t>GASTO</t>
        </is>
      </c>
      <c r="E17" s="16" t="n">
        <v>10000</v>
      </c>
      <c r="F17" s="5" t="inlineStr">
        <is>
          <t>LIDER, JUMBO, SANTA ISABEL, UNIMARC, TOTTUS, ACUENTA, SUPERMERCADO, MAYORISTA, ALVI, VERDULERIA, CARNICERIA, PANADERIA, FERIA, ABARROTE, MINIMARKET</t>
        </is>
      </c>
    </row>
    <row r="18">
      <c r="A18" s="5" t="inlineStr">
        <is>
          <t>EGRESO</t>
        </is>
      </c>
      <c r="B18" s="5" t="inlineStr">
        <is>
          <t>CASA</t>
        </is>
      </c>
      <c r="C18" s="5" t="inlineStr">
        <is>
          <t>COMIDA PERSONAL</t>
        </is>
      </c>
      <c r="D18" s="5" t="inlineStr">
        <is>
          <t>GASTO</t>
        </is>
      </c>
      <c r="E18" s="16" t="n">
        <v>10000</v>
      </c>
      <c r="F18" s="5" t="inlineStr">
        <is>
          <t>MCDONALD, BURGER, DOMINO, PAPA JOHN, SUBWAY, STARBUCKS, JUAN MAESTRO, DOGGIS, PIZZA, SUSHI, CAFE, RESTAURANT, EMPANADA, COMPLETO, PEDIDOSYA, RAPPI</t>
        </is>
      </c>
    </row>
    <row r="19">
      <c r="A19" s="5" t="inlineStr">
        <is>
          <t>EGRESO</t>
        </is>
      </c>
      <c r="B19" s="5" t="inlineStr">
        <is>
          <t>CASA</t>
        </is>
      </c>
      <c r="C19" s="5" t="inlineStr">
        <is>
          <t>CUENTAS</t>
        </is>
      </c>
      <c r="D19" s="5" t="inlineStr">
        <is>
          <t>GASTO</t>
        </is>
      </c>
      <c r="E19" s="16" t="n">
        <v>80000</v>
      </c>
      <c r="F19" s="5" t="inlineStr">
        <is>
          <t>ENEL, CGE, CHILQUINTA, SAESA, ESVAL, ESSBIO, AGUAS, LIPIGAS, ABASTIBLE, GASCO, ENTEL, MOVISTAR, WOM, CLARO, VTR, CONTRIBUCION, TESORERIA</t>
        </is>
      </c>
    </row>
    <row r="20">
      <c r="A20" s="5" t="inlineStr">
        <is>
          <t>EGRESO</t>
        </is>
      </c>
      <c r="B20" s="5" t="inlineStr">
        <is>
          <t>SALUD</t>
        </is>
      </c>
      <c r="C20" s="5" t="inlineStr">
        <is>
          <t>MEDICAMENTOS</t>
        </is>
      </c>
      <c r="D20" s="5" t="inlineStr">
        <is>
          <t>GASTO</t>
        </is>
      </c>
      <c r="E20" s="16" t="n">
        <v>5000</v>
      </c>
      <c r="F20" s="5" t="inlineStr">
        <is>
          <t>FARMACIA, CRUZ VERDE, SALCOBRAND, AHUMADA, DR SIMI, BOTICA, CLINICA, LABORATORIO</t>
        </is>
      </c>
    </row>
    <row r="21">
      <c r="A21" s="5" t="inlineStr">
        <is>
          <t>EGRESO</t>
        </is>
      </c>
      <c r="B21" s="5" t="inlineStr">
        <is>
          <t>SALUD</t>
        </is>
      </c>
      <c r="C21" s="5" t="inlineStr">
        <is>
          <t>ROPA</t>
        </is>
      </c>
      <c r="D21" s="5" t="inlineStr">
        <is>
          <t>GASTO</t>
        </is>
      </c>
      <c r="E21" s="16" t="n">
        <v>0</v>
      </c>
      <c r="F21" s="5" t="inlineStr">
        <is>
          <t>ZARA, H&amp;M, FALABELLA, PARIS, RIPLEY, HITES, TRICOT, CALZADO, ZAPATERIA</t>
        </is>
      </c>
    </row>
    <row r="22">
      <c r="A22" s="5" t="inlineStr">
        <is>
          <t>EGRESO</t>
        </is>
      </c>
      <c r="B22" s="5" t="inlineStr">
        <is>
          <t>SALUD</t>
        </is>
      </c>
      <c r="C22" s="5" t="inlineStr">
        <is>
          <t>DEPORTE</t>
        </is>
      </c>
      <c r="D22" s="5" t="inlineStr">
        <is>
          <t>GASTO</t>
        </is>
      </c>
      <c r="E22" s="16" t="n">
        <v>12000</v>
      </c>
      <c r="F22" s="5" t="inlineStr">
        <is>
          <t>GIMNASIO, SPORTLIFE, SMART FIT, DECATHLON, DEPORTE, PADEL, GYM</t>
        </is>
      </c>
    </row>
    <row r="23">
      <c r="A23" s="5" t="inlineStr">
        <is>
          <t>EGRESO</t>
        </is>
      </c>
      <c r="B23" s="5" t="inlineStr">
        <is>
          <t>AUTO</t>
        </is>
      </c>
      <c r="C23" s="5" t="inlineStr">
        <is>
          <t>BENCINA</t>
        </is>
      </c>
      <c r="D23" s="5" t="inlineStr">
        <is>
          <t>GASTO</t>
        </is>
      </c>
      <c r="E23" s="16" t="n">
        <v>30000</v>
      </c>
      <c r="F23" s="5" t="inlineStr">
        <is>
          <t>COPEC, SHELL, PETROBRAS, ARAMCO, ENEX, TERPEL, COMBUSTIBLE, BENCINA, DIESEL, SERVICENTRO</t>
        </is>
      </c>
    </row>
    <row r="24">
      <c r="A24" s="5" t="inlineStr">
        <is>
          <t>EGRESO</t>
        </is>
      </c>
      <c r="B24" s="5" t="inlineStr">
        <is>
          <t>AUTO</t>
        </is>
      </c>
      <c r="C24" s="5" t="inlineStr">
        <is>
          <t>OTROS</t>
        </is>
      </c>
      <c r="D24" s="5" t="inlineStr">
        <is>
          <t>GASTO</t>
        </is>
      </c>
      <c r="E24" s="16" t="n">
        <v>5000</v>
      </c>
      <c r="F24" s="5" t="inlineStr">
        <is>
          <t>AUTOMOTRIZ, REPUESTO, VULCANIZACION, NEUMATICO, SERVITECA, LAVADO DE AUTO, TALLER MECANICO, REVISION TECNICA</t>
        </is>
      </c>
    </row>
    <row r="25">
      <c r="A25" s="5" t="inlineStr">
        <is>
          <t>EGRESO</t>
        </is>
      </c>
      <c r="B25" s="5" t="inlineStr">
        <is>
          <t>DIVERSION</t>
        </is>
      </c>
      <c r="C25" s="5" t="inlineStr">
        <is>
          <t>COPETE</t>
        </is>
      </c>
      <c r="D25" s="5" t="inlineStr">
        <is>
          <t>GASTO</t>
        </is>
      </c>
      <c r="E25" s="16" t="n">
        <v>10000</v>
      </c>
      <c r="F25" s="5" t="inlineStr">
        <is>
          <t>BOTILLERIA, LICOR, CERVEZA, VINO, PISCO, WHISKY, CERVECERIA</t>
        </is>
      </c>
    </row>
    <row r="26">
      <c r="A26" s="5" t="inlineStr">
        <is>
          <t>EGRESO</t>
        </is>
      </c>
      <c r="B26" s="5" t="inlineStr">
        <is>
          <t>DIVERSION</t>
        </is>
      </c>
      <c r="C26" s="5" t="inlineStr">
        <is>
          <t>WEED</t>
        </is>
      </c>
      <c r="D26" s="5" t="inlineStr">
        <is>
          <t>GASTO</t>
        </is>
      </c>
      <c r="E26" s="16" t="n">
        <v>5000</v>
      </c>
      <c r="F26" s="5" t="inlineStr"/>
    </row>
    <row r="27">
      <c r="A27" s="5" t="inlineStr">
        <is>
          <t>EGRESO</t>
        </is>
      </c>
      <c r="B27" s="5" t="inlineStr">
        <is>
          <t>DIVERSION</t>
        </is>
      </c>
      <c r="C27" s="5" t="inlineStr">
        <is>
          <t>CARCASA CELULAR</t>
        </is>
      </c>
      <c r="D27" s="5" t="inlineStr">
        <is>
          <t>GASTO</t>
        </is>
      </c>
      <c r="E27" s="16" t="n">
        <v>8000</v>
      </c>
      <c r="F27" s="5" t="inlineStr"/>
    </row>
    <row r="28">
      <c r="A28" s="5" t="inlineStr">
        <is>
          <t>EGRESO</t>
        </is>
      </c>
      <c r="B28" s="5" t="inlineStr">
        <is>
          <t>DIVERSION</t>
        </is>
      </c>
      <c r="C28" s="5" t="inlineStr">
        <is>
          <t>SALIDA CON AMIGOS</t>
        </is>
      </c>
      <c r="D28" s="5" t="inlineStr">
        <is>
          <t>GASTO</t>
        </is>
      </c>
      <c r="E28" s="16" t="n">
        <v>6000</v>
      </c>
      <c r="F28" s="5" t="inlineStr">
        <is>
          <t>DISCOTEQUE, KARAOKE</t>
        </is>
      </c>
    </row>
    <row r="29">
      <c r="A29" s="5" t="inlineStr">
        <is>
          <t>EGRESO</t>
        </is>
      </c>
      <c r="B29" s="5" t="inlineStr">
        <is>
          <t>OTROS</t>
        </is>
      </c>
      <c r="C29" s="5" t="inlineStr">
        <is>
          <t>CHICHES</t>
        </is>
      </c>
      <c r="D29" s="5" t="inlineStr">
        <is>
          <t>GASTO</t>
        </is>
      </c>
      <c r="E29" s="16" t="n">
        <v>5000</v>
      </c>
      <c r="F29" s="5" t="inlineStr">
        <is>
          <t>PC FACTORY, SPDIGITAL, WINPY, TECNOLOGIA, ELECTRONICA, CELULAR, AUDIFONO, CARGADOR, LIBRERIA</t>
        </is>
      </c>
    </row>
    <row r="30">
      <c r="A30" s="5" t="inlineStr">
        <is>
          <t>EGRESO</t>
        </is>
      </c>
      <c r="B30" s="5" t="inlineStr">
        <is>
          <t>OTROS</t>
        </is>
      </c>
      <c r="C30" s="5" t="inlineStr">
        <is>
          <t>DONACIONES</t>
        </is>
      </c>
      <c r="D30" s="5" t="inlineStr">
        <is>
          <t>GASTO</t>
        </is>
      </c>
      <c r="E30" s="16" t="n">
        <v>5000</v>
      </c>
      <c r="F30" s="5" t="inlineStr"/>
    </row>
    <row r="31">
      <c r="A31" s="5" t="inlineStr">
        <is>
          <t>EGRESO</t>
        </is>
      </c>
      <c r="B31" s="5" t="inlineStr">
        <is>
          <t>OTROS</t>
        </is>
      </c>
      <c r="C31" s="5" t="inlineStr">
        <is>
          <t>PRESTAMOS</t>
        </is>
      </c>
      <c r="D31" s="5" t="inlineStr">
        <is>
          <t>GASTO</t>
        </is>
      </c>
      <c r="E31" s="16" t="n">
        <v>0</v>
      </c>
      <c r="F31" s="5" t="inlineStr"/>
    </row>
    <row r="32">
      <c r="A32" s="5" t="inlineStr">
        <is>
          <t>EGRESO</t>
        </is>
      </c>
      <c r="B32" s="5" t="inlineStr">
        <is>
          <t>OTROS</t>
        </is>
      </c>
      <c r="C32" s="5" t="inlineStr">
        <is>
          <t>LOCOMOCION</t>
        </is>
      </c>
      <c r="D32" s="5" t="inlineStr">
        <is>
          <t>GASTO</t>
        </is>
      </c>
      <c r="E32" s="16" t="n">
        <v>0</v>
      </c>
      <c r="F32" s="5" t="inlineStr">
        <is>
          <t>UBER, CABIFY, DIDI, TAXI, METRO, PEAJE, AUTOPISTA, ESTACIONAMIENTO, PULLMAN, TURBUS, PASAJE</t>
        </is>
      </c>
    </row>
    <row r="33">
      <c r="A33" s="5" t="inlineStr">
        <is>
          <t>EGRESO</t>
        </is>
      </c>
      <c r="B33" s="5" t="inlineStr">
        <is>
          <t>OTROS</t>
        </is>
      </c>
      <c r="C33" s="5" t="inlineStr">
        <is>
          <t>OTROS GASTOS</t>
        </is>
      </c>
      <c r="D33" s="5" t="inlineStr">
        <is>
          <t>GASTO</t>
        </is>
      </c>
      <c r="E33" s="16" t="n">
        <v>10000</v>
      </c>
      <c r="F33" s="5" t="inlineStr">
        <is>
          <t>FERRETERIA, SODIMAC, EASY, CONSTRUMART, IMPERIAL, PREUNIC, LA POLAR, MERCADO LIBRE, CORREOS, CHILEXPRESS, STARKEN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4" customWidth="1" min="4" max="4"/>
    <col width="10" customWidth="1" min="5" max="5"/>
    <col width="14" customWidth="1" min="6" max="6"/>
    <col width="30" customWidth="1" min="7" max="7"/>
    <col width="16" customWidth="1" min="8" max="8"/>
    <col width="10" customWidth="1" min="9" max="9"/>
    <col width="16" customWidth="1" min="10" max="10"/>
  </cols>
  <sheetData>
    <row r="1" ht="30" customHeight="1">
      <c r="A1" s="1" t="inlineStr">
        <is>
          <t>MOVIMIENTOS  ·  la base de datos: una fila por ingreso o gasto</t>
        </is>
      </c>
    </row>
    <row r="2">
      <c r="A2" s="4" t="inlineStr">
        <is>
          <t>La app escribe acá sola. Puedes agregar filas a mano abajo de todo; no borres la fila de títulos.</t>
        </is>
      </c>
    </row>
    <row r="3">
      <c r="A3" s="7" t="inlineStr">
        <is>
          <t>FECHA</t>
        </is>
      </c>
      <c r="B3" s="7" t="inlineStr">
        <is>
          <t>TIPO</t>
        </is>
      </c>
      <c r="C3" s="7" t="inlineStr">
        <is>
          <t>GRUPO</t>
        </is>
      </c>
      <c r="D3" s="7" t="inlineStr">
        <is>
          <t>CATEGORÍA</t>
        </is>
      </c>
      <c r="E3" s="7" t="inlineStr">
        <is>
          <t>CLASE</t>
        </is>
      </c>
      <c r="F3" s="7" t="inlineStr">
        <is>
          <t>MONTO</t>
        </is>
      </c>
      <c r="G3" s="7" t="inlineStr">
        <is>
          <t>DETALLE</t>
        </is>
      </c>
      <c r="H3" s="7" t="inlineStr">
        <is>
          <t>DOCUMENTO</t>
        </is>
      </c>
      <c r="I3" s="7" t="inlineStr">
        <is>
          <t>ORIGEN</t>
        </is>
      </c>
      <c r="J3" s="7" t="inlineStr">
        <is>
          <t>ID</t>
        </is>
      </c>
    </row>
    <row r="4">
      <c r="A4" s="17" t="n"/>
      <c r="B4" s="5" t="n"/>
      <c r="C4" s="5" t="n"/>
      <c r="D4" s="5" t="n"/>
      <c r="E4" s="5" t="n"/>
      <c r="F4" s="16" t="n"/>
      <c r="G4" s="5" t="n"/>
      <c r="H4" s="5" t="n"/>
      <c r="I4" s="5" t="n"/>
      <c r="J4" s="5" t="n"/>
    </row>
    <row r="5">
      <c r="A5" s="17" t="n"/>
      <c r="B5" s="5" t="n"/>
      <c r="C5" s="5" t="n"/>
      <c r="D5" s="5" t="n"/>
      <c r="E5" s="5" t="n"/>
      <c r="F5" s="16" t="n"/>
      <c r="G5" s="5" t="n"/>
      <c r="H5" s="5" t="n"/>
      <c r="I5" s="5" t="n"/>
      <c r="J5" s="5" t="n"/>
    </row>
    <row r="6">
      <c r="A6" s="17" t="n"/>
      <c r="B6" s="5" t="n"/>
      <c r="C6" s="5" t="n"/>
      <c r="D6" s="5" t="n"/>
      <c r="E6" s="5" t="n"/>
      <c r="F6" s="16" t="n"/>
      <c r="G6" s="5" t="n"/>
      <c r="H6" s="5" t="n"/>
      <c r="I6" s="5" t="n"/>
      <c r="J6" s="5" t="n"/>
    </row>
    <row r="7">
      <c r="A7" s="17" t="n"/>
      <c r="B7" s="5" t="n"/>
      <c r="C7" s="5" t="n"/>
      <c r="D7" s="5" t="n"/>
      <c r="E7" s="5" t="n"/>
      <c r="F7" s="16" t="n"/>
      <c r="G7" s="5" t="n"/>
      <c r="H7" s="5" t="n"/>
      <c r="I7" s="5" t="n"/>
      <c r="J7" s="5" t="n"/>
    </row>
    <row r="8">
      <c r="A8" s="17" t="n"/>
      <c r="B8" s="5" t="n"/>
      <c r="C8" s="5" t="n"/>
      <c r="D8" s="5" t="n"/>
      <c r="E8" s="5" t="n"/>
      <c r="F8" s="16" t="n"/>
      <c r="G8" s="5" t="n"/>
      <c r="H8" s="5" t="n"/>
      <c r="I8" s="5" t="n"/>
      <c r="J8" s="5" t="n"/>
    </row>
    <row r="9">
      <c r="A9" s="17" t="n"/>
      <c r="B9" s="5" t="n"/>
      <c r="C9" s="5" t="n"/>
      <c r="D9" s="5" t="n"/>
      <c r="E9" s="5" t="n"/>
      <c r="F9" s="16" t="n"/>
      <c r="G9" s="5" t="n"/>
      <c r="H9" s="5" t="n"/>
      <c r="I9" s="5" t="n"/>
      <c r="J9" s="5" t="n"/>
    </row>
    <row r="10">
      <c r="A10" s="17" t="n"/>
      <c r="B10" s="5" t="n"/>
      <c r="C10" s="5" t="n"/>
      <c r="D10" s="5" t="n"/>
      <c r="E10" s="5" t="n"/>
      <c r="F10" s="16" t="n"/>
      <c r="G10" s="5" t="n"/>
      <c r="H10" s="5" t="n"/>
      <c r="I10" s="5" t="n"/>
      <c r="J10" s="5" t="n"/>
    </row>
    <row r="11">
      <c r="A11" s="17" t="n"/>
      <c r="B11" s="5" t="n"/>
      <c r="C11" s="5" t="n"/>
      <c r="D11" s="5" t="n"/>
      <c r="E11" s="5" t="n"/>
      <c r="F11" s="16" t="n"/>
      <c r="G11" s="5" t="n"/>
      <c r="H11" s="5" t="n"/>
      <c r="I11" s="5" t="n"/>
      <c r="J11" s="5" t="n"/>
    </row>
    <row r="12">
      <c r="A12" s="17" t="n"/>
      <c r="B12" s="5" t="n"/>
      <c r="C12" s="5" t="n"/>
      <c r="D12" s="5" t="n"/>
      <c r="E12" s="5" t="n"/>
      <c r="F12" s="16" t="n"/>
      <c r="G12" s="5" t="n"/>
      <c r="H12" s="5" t="n"/>
      <c r="I12" s="5" t="n"/>
      <c r="J12" s="5" t="n"/>
    </row>
    <row r="13">
      <c r="A13" s="17" t="n"/>
      <c r="B13" s="5" t="n"/>
      <c r="C13" s="5" t="n"/>
      <c r="D13" s="5" t="n"/>
      <c r="E13" s="5" t="n"/>
      <c r="F13" s="16" t="n"/>
      <c r="G13" s="5" t="n"/>
      <c r="H13" s="5" t="n"/>
      <c r="I13" s="5" t="n"/>
      <c r="J13" s="5" t="n"/>
    </row>
    <row r="14">
      <c r="A14" s="17" t="n"/>
      <c r="B14" s="5" t="n"/>
      <c r="C14" s="5" t="n"/>
      <c r="D14" s="5" t="n"/>
      <c r="E14" s="5" t="n"/>
      <c r="F14" s="16" t="n"/>
      <c r="G14" s="5" t="n"/>
      <c r="H14" s="5" t="n"/>
      <c r="I14" s="5" t="n"/>
      <c r="J14" s="5" t="n"/>
    </row>
    <row r="15">
      <c r="A15" s="17" t="n"/>
      <c r="B15" s="5" t="n"/>
      <c r="C15" s="5" t="n"/>
      <c r="D15" s="5" t="n"/>
      <c r="E15" s="5" t="n"/>
      <c r="F15" s="16" t="n"/>
      <c r="G15" s="5" t="n"/>
      <c r="H15" s="5" t="n"/>
      <c r="I15" s="5" t="n"/>
      <c r="J15" s="5" t="n"/>
    </row>
    <row r="16">
      <c r="A16" s="17" t="n"/>
      <c r="B16" s="5" t="n"/>
      <c r="C16" s="5" t="n"/>
      <c r="D16" s="5" t="n"/>
      <c r="E16" s="5" t="n"/>
      <c r="F16" s="16" t="n"/>
      <c r="G16" s="5" t="n"/>
      <c r="H16" s="5" t="n"/>
      <c r="I16" s="5" t="n"/>
      <c r="J16" s="5" t="n"/>
    </row>
    <row r="17">
      <c r="A17" s="17" t="n"/>
      <c r="B17" s="5" t="n"/>
      <c r="C17" s="5" t="n"/>
      <c r="D17" s="5" t="n"/>
      <c r="E17" s="5" t="n"/>
      <c r="F17" s="16" t="n"/>
      <c r="G17" s="5" t="n"/>
      <c r="H17" s="5" t="n"/>
      <c r="I17" s="5" t="n"/>
      <c r="J17" s="5" t="n"/>
    </row>
    <row r="18">
      <c r="A18" s="17" t="n"/>
      <c r="B18" s="5" t="n"/>
      <c r="C18" s="5" t="n"/>
      <c r="D18" s="5" t="n"/>
      <c r="E18" s="5" t="n"/>
      <c r="F18" s="16" t="n"/>
      <c r="G18" s="5" t="n"/>
      <c r="H18" s="5" t="n"/>
      <c r="I18" s="5" t="n"/>
      <c r="J18" s="5" t="n"/>
    </row>
    <row r="19">
      <c r="A19" s="17" t="n"/>
      <c r="B19" s="5" t="n"/>
      <c r="C19" s="5" t="n"/>
      <c r="D19" s="5" t="n"/>
      <c r="E19" s="5" t="n"/>
      <c r="F19" s="16" t="n"/>
      <c r="G19" s="5" t="n"/>
      <c r="H19" s="5" t="n"/>
      <c r="I19" s="5" t="n"/>
      <c r="J19" s="5" t="n"/>
    </row>
    <row r="20">
      <c r="A20" s="17" t="n"/>
      <c r="B20" s="5" t="n"/>
      <c r="C20" s="5" t="n"/>
      <c r="D20" s="5" t="n"/>
      <c r="E20" s="5" t="n"/>
      <c r="F20" s="16" t="n"/>
      <c r="G20" s="5" t="n"/>
      <c r="H20" s="5" t="n"/>
      <c r="I20" s="5" t="n"/>
      <c r="J20" s="5" t="n"/>
    </row>
    <row r="21">
      <c r="A21" s="17" t="n"/>
      <c r="B21" s="5" t="n"/>
      <c r="C21" s="5" t="n"/>
      <c r="D21" s="5" t="n"/>
      <c r="E21" s="5" t="n"/>
      <c r="F21" s="16" t="n"/>
      <c r="G21" s="5" t="n"/>
      <c r="H21" s="5" t="n"/>
      <c r="I21" s="5" t="n"/>
      <c r="J21" s="5" t="n"/>
    </row>
    <row r="22">
      <c r="A22" s="17" t="n"/>
      <c r="B22" s="5" t="n"/>
      <c r="C22" s="5" t="n"/>
      <c r="D22" s="5" t="n"/>
      <c r="E22" s="5" t="n"/>
      <c r="F22" s="16" t="n"/>
      <c r="G22" s="5" t="n"/>
      <c r="H22" s="5" t="n"/>
      <c r="I22" s="5" t="n"/>
      <c r="J22" s="5" t="n"/>
    </row>
    <row r="23">
      <c r="A23" s="17" t="n"/>
      <c r="B23" s="5" t="n"/>
      <c r="C23" s="5" t="n"/>
      <c r="D23" s="5" t="n"/>
      <c r="E23" s="5" t="n"/>
      <c r="F23" s="16" t="n"/>
      <c r="G23" s="5" t="n"/>
      <c r="H23" s="5" t="n"/>
      <c r="I23" s="5" t="n"/>
      <c r="J23" s="5" t="n"/>
    </row>
    <row r="24">
      <c r="A24" s="17" t="n"/>
      <c r="B24" s="5" t="n"/>
      <c r="C24" s="5" t="n"/>
      <c r="D24" s="5" t="n"/>
      <c r="E24" s="5" t="n"/>
      <c r="F24" s="16" t="n"/>
      <c r="G24" s="5" t="n"/>
      <c r="H24" s="5" t="n"/>
      <c r="I24" s="5" t="n"/>
      <c r="J24" s="5" t="n"/>
    </row>
    <row r="25">
      <c r="A25" s="17" t="n"/>
      <c r="B25" s="5" t="n"/>
      <c r="C25" s="5" t="n"/>
      <c r="D25" s="5" t="n"/>
      <c r="E25" s="5" t="n"/>
      <c r="F25" s="16" t="n"/>
      <c r="G25" s="5" t="n"/>
      <c r="H25" s="5" t="n"/>
      <c r="I25" s="5" t="n"/>
      <c r="J25" s="5" t="n"/>
    </row>
    <row r="26">
      <c r="A26" s="17" t="n"/>
      <c r="B26" s="5" t="n"/>
      <c r="C26" s="5" t="n"/>
      <c r="D26" s="5" t="n"/>
      <c r="E26" s="5" t="n"/>
      <c r="F26" s="16" t="n"/>
      <c r="G26" s="5" t="n"/>
      <c r="H26" s="5" t="n"/>
      <c r="I26" s="5" t="n"/>
      <c r="J26" s="5" t="n"/>
    </row>
    <row r="27">
      <c r="A27" s="17" t="n"/>
      <c r="B27" s="5" t="n"/>
      <c r="C27" s="5" t="n"/>
      <c r="D27" s="5" t="n"/>
      <c r="E27" s="5" t="n"/>
      <c r="F27" s="16" t="n"/>
      <c r="G27" s="5" t="n"/>
      <c r="H27" s="5" t="n"/>
      <c r="I27" s="5" t="n"/>
      <c r="J27" s="5" t="n"/>
    </row>
    <row r="28">
      <c r="A28" s="17" t="n"/>
      <c r="B28" s="5" t="n"/>
      <c r="C28" s="5" t="n"/>
      <c r="D28" s="5" t="n"/>
      <c r="E28" s="5" t="n"/>
      <c r="F28" s="16" t="n"/>
      <c r="G28" s="5" t="n"/>
      <c r="H28" s="5" t="n"/>
      <c r="I28" s="5" t="n"/>
      <c r="J28" s="5" t="n"/>
    </row>
    <row r="29">
      <c r="A29" s="17" t="n"/>
      <c r="B29" s="5" t="n"/>
      <c r="C29" s="5" t="n"/>
      <c r="D29" s="5" t="n"/>
      <c r="E29" s="5" t="n"/>
      <c r="F29" s="16" t="n"/>
      <c r="G29" s="5" t="n"/>
      <c r="H29" s="5" t="n"/>
      <c r="I29" s="5" t="n"/>
      <c r="J29" s="5" t="n"/>
    </row>
    <row r="30">
      <c r="A30" s="17" t="n"/>
      <c r="B30" s="5" t="n"/>
      <c r="C30" s="5" t="n"/>
      <c r="D30" s="5" t="n"/>
      <c r="E30" s="5" t="n"/>
      <c r="F30" s="16" t="n"/>
      <c r="G30" s="5" t="n"/>
      <c r="H30" s="5" t="n"/>
      <c r="I30" s="5" t="n"/>
      <c r="J30" s="5" t="n"/>
    </row>
    <row r="31">
      <c r="A31" s="17" t="n"/>
      <c r="B31" s="5" t="n"/>
      <c r="C31" s="5" t="n"/>
      <c r="D31" s="5" t="n"/>
      <c r="E31" s="5" t="n"/>
      <c r="F31" s="16" t="n"/>
      <c r="G31" s="5" t="n"/>
      <c r="H31" s="5" t="n"/>
      <c r="I31" s="5" t="n"/>
      <c r="J31" s="5" t="n"/>
    </row>
    <row r="32">
      <c r="A32" s="17" t="n"/>
      <c r="B32" s="5" t="n"/>
      <c r="C32" s="5" t="n"/>
      <c r="D32" s="5" t="n"/>
      <c r="E32" s="5" t="n"/>
      <c r="F32" s="16" t="n"/>
      <c r="G32" s="5" t="n"/>
      <c r="H32" s="5" t="n"/>
      <c r="I32" s="5" t="n"/>
      <c r="J32" s="5" t="n"/>
    </row>
    <row r="33">
      <c r="A33" s="17" t="n"/>
      <c r="B33" s="5" t="n"/>
      <c r="C33" s="5" t="n"/>
      <c r="D33" s="5" t="n"/>
      <c r="E33" s="5" t="n"/>
      <c r="F33" s="16" t="n"/>
      <c r="G33" s="5" t="n"/>
      <c r="H33" s="5" t="n"/>
      <c r="I33" s="5" t="n"/>
      <c r="J33" s="5" t="n"/>
    </row>
    <row r="34">
      <c r="A34" s="17" t="n"/>
      <c r="B34" s="5" t="n"/>
      <c r="C34" s="5" t="n"/>
      <c r="D34" s="5" t="n"/>
      <c r="E34" s="5" t="n"/>
      <c r="F34" s="16" t="n"/>
      <c r="G34" s="5" t="n"/>
      <c r="H34" s="5" t="n"/>
      <c r="I34" s="5" t="n"/>
      <c r="J34" s="5" t="n"/>
    </row>
    <row r="35">
      <c r="A35" s="17" t="n"/>
      <c r="B35" s="5" t="n"/>
      <c r="C35" s="5" t="n"/>
      <c r="D35" s="5" t="n"/>
      <c r="E35" s="5" t="n"/>
      <c r="F35" s="16" t="n"/>
      <c r="G35" s="5" t="n"/>
      <c r="H35" s="5" t="n"/>
      <c r="I35" s="5" t="n"/>
      <c r="J35" s="5" t="n"/>
    </row>
    <row r="36">
      <c r="A36" s="17" t="n"/>
      <c r="B36" s="5" t="n"/>
      <c r="C36" s="5" t="n"/>
      <c r="D36" s="5" t="n"/>
      <c r="E36" s="5" t="n"/>
      <c r="F36" s="16" t="n"/>
      <c r="G36" s="5" t="n"/>
      <c r="H36" s="5" t="n"/>
      <c r="I36" s="5" t="n"/>
      <c r="J36" s="5" t="n"/>
    </row>
    <row r="37">
      <c r="A37" s="17" t="n"/>
      <c r="B37" s="5" t="n"/>
      <c r="C37" s="5" t="n"/>
      <c r="D37" s="5" t="n"/>
      <c r="E37" s="5" t="n"/>
      <c r="F37" s="16" t="n"/>
      <c r="G37" s="5" t="n"/>
      <c r="H37" s="5" t="n"/>
      <c r="I37" s="5" t="n"/>
      <c r="J37" s="5" t="n"/>
    </row>
    <row r="38">
      <c r="A38" s="17" t="n"/>
      <c r="B38" s="5" t="n"/>
      <c r="C38" s="5" t="n"/>
      <c r="D38" s="5" t="n"/>
      <c r="E38" s="5" t="n"/>
      <c r="F38" s="16" t="n"/>
      <c r="G38" s="5" t="n"/>
      <c r="H38" s="5" t="n"/>
      <c r="I38" s="5" t="n"/>
      <c r="J38" s="5" t="n"/>
    </row>
    <row r="39">
      <c r="A39" s="17" t="n"/>
      <c r="B39" s="5" t="n"/>
      <c r="C39" s="5" t="n"/>
      <c r="D39" s="5" t="n"/>
      <c r="E39" s="5" t="n"/>
      <c r="F39" s="16" t="n"/>
      <c r="G39" s="5" t="n"/>
      <c r="H39" s="5" t="n"/>
      <c r="I39" s="5" t="n"/>
      <c r="J39" s="5" t="n"/>
    </row>
    <row r="40">
      <c r="A40" s="17" t="n"/>
      <c r="B40" s="5" t="n"/>
      <c r="C40" s="5" t="n"/>
      <c r="D40" s="5" t="n"/>
      <c r="E40" s="5" t="n"/>
      <c r="F40" s="16" t="n"/>
      <c r="G40" s="5" t="n"/>
      <c r="H40" s="5" t="n"/>
      <c r="I40" s="5" t="n"/>
      <c r="J40" s="5" t="n"/>
    </row>
    <row r="41">
      <c r="A41" s="17" t="n"/>
      <c r="B41" s="5" t="n"/>
      <c r="C41" s="5" t="n"/>
      <c r="D41" s="5" t="n"/>
      <c r="E41" s="5" t="n"/>
      <c r="F41" s="16" t="n"/>
      <c r="G41" s="5" t="n"/>
      <c r="H41" s="5" t="n"/>
      <c r="I41" s="5" t="n"/>
      <c r="J41" s="5" t="n"/>
    </row>
    <row r="42">
      <c r="A42" s="17" t="n"/>
      <c r="B42" s="5" t="n"/>
      <c r="C42" s="5" t="n"/>
      <c r="D42" s="5" t="n"/>
      <c r="E42" s="5" t="n"/>
      <c r="F42" s="16" t="n"/>
      <c r="G42" s="5" t="n"/>
      <c r="H42" s="5" t="n"/>
      <c r="I42" s="5" t="n"/>
      <c r="J42" s="5" t="n"/>
    </row>
    <row r="43">
      <c r="A43" s="17" t="n"/>
      <c r="B43" s="5" t="n"/>
      <c r="C43" s="5" t="n"/>
      <c r="D43" s="5" t="n"/>
      <c r="E43" s="5" t="n"/>
      <c r="F43" s="16" t="n"/>
      <c r="G43" s="5" t="n"/>
      <c r="H43" s="5" t="n"/>
      <c r="I43" s="5" t="n"/>
      <c r="J43" s="5" t="n"/>
    </row>
    <row r="44">
      <c r="A44" s="17" t="n"/>
      <c r="B44" s="5" t="n"/>
      <c r="C44" s="5" t="n"/>
      <c r="D44" s="5" t="n"/>
      <c r="E44" s="5" t="n"/>
      <c r="F44" s="16" t="n"/>
      <c r="G44" s="5" t="n"/>
      <c r="H44" s="5" t="n"/>
      <c r="I44" s="5" t="n"/>
      <c r="J44" s="5" t="n"/>
    </row>
    <row r="45">
      <c r="A45" s="17" t="n"/>
      <c r="B45" s="5" t="n"/>
      <c r="C45" s="5" t="n"/>
      <c r="D45" s="5" t="n"/>
      <c r="E45" s="5" t="n"/>
      <c r="F45" s="16" t="n"/>
      <c r="G45" s="5" t="n"/>
      <c r="H45" s="5" t="n"/>
      <c r="I45" s="5" t="n"/>
      <c r="J45" s="5" t="n"/>
    </row>
    <row r="46">
      <c r="A46" s="17" t="n"/>
      <c r="B46" s="5" t="n"/>
      <c r="C46" s="5" t="n"/>
      <c r="D46" s="5" t="n"/>
      <c r="E46" s="5" t="n"/>
      <c r="F46" s="16" t="n"/>
      <c r="G46" s="5" t="n"/>
      <c r="H46" s="5" t="n"/>
      <c r="I46" s="5" t="n"/>
      <c r="J46" s="5" t="n"/>
    </row>
    <row r="47">
      <c r="A47" s="17" t="n"/>
      <c r="B47" s="5" t="n"/>
      <c r="C47" s="5" t="n"/>
      <c r="D47" s="5" t="n"/>
      <c r="E47" s="5" t="n"/>
      <c r="F47" s="16" t="n"/>
      <c r="G47" s="5" t="n"/>
      <c r="H47" s="5" t="n"/>
      <c r="I47" s="5" t="n"/>
      <c r="J47" s="5" t="n"/>
    </row>
    <row r="48">
      <c r="A48" s="17" t="n"/>
      <c r="B48" s="5" t="n"/>
      <c r="C48" s="5" t="n"/>
      <c r="D48" s="5" t="n"/>
      <c r="E48" s="5" t="n"/>
      <c r="F48" s="16" t="n"/>
      <c r="G48" s="5" t="n"/>
      <c r="H48" s="5" t="n"/>
      <c r="I48" s="5" t="n"/>
      <c r="J48" s="5" t="n"/>
    </row>
    <row r="49">
      <c r="A49" s="17" t="n"/>
      <c r="B49" s="5" t="n"/>
      <c r="C49" s="5" t="n"/>
      <c r="D49" s="5" t="n"/>
      <c r="E49" s="5" t="n"/>
      <c r="F49" s="16" t="n"/>
      <c r="G49" s="5" t="n"/>
      <c r="H49" s="5" t="n"/>
      <c r="I49" s="5" t="n"/>
      <c r="J49" s="5" t="n"/>
    </row>
    <row r="50">
      <c r="A50" s="17" t="n"/>
      <c r="B50" s="5" t="n"/>
      <c r="C50" s="5" t="n"/>
      <c r="D50" s="5" t="n"/>
      <c r="E50" s="5" t="n"/>
      <c r="F50" s="16" t="n"/>
      <c r="G50" s="5" t="n"/>
      <c r="H50" s="5" t="n"/>
      <c r="I50" s="5" t="n"/>
      <c r="J50" s="5" t="n"/>
    </row>
    <row r="51">
      <c r="A51" s="17" t="n"/>
      <c r="B51" s="5" t="n"/>
      <c r="C51" s="5" t="n"/>
      <c r="D51" s="5" t="n"/>
      <c r="E51" s="5" t="n"/>
      <c r="F51" s="16" t="n"/>
      <c r="G51" s="5" t="n"/>
      <c r="H51" s="5" t="n"/>
      <c r="I51" s="5" t="n"/>
      <c r="J51" s="5" t="n"/>
    </row>
    <row r="52">
      <c r="A52" s="17" t="n"/>
      <c r="B52" s="5" t="n"/>
      <c r="C52" s="5" t="n"/>
      <c r="D52" s="5" t="n"/>
      <c r="E52" s="5" t="n"/>
      <c r="F52" s="16" t="n"/>
      <c r="G52" s="5" t="n"/>
      <c r="H52" s="5" t="n"/>
      <c r="I52" s="5" t="n"/>
      <c r="J52" s="5" t="n"/>
    </row>
    <row r="53">
      <c r="A53" s="17" t="n"/>
      <c r="B53" s="5" t="n"/>
      <c r="C53" s="5" t="n"/>
      <c r="D53" s="5" t="n"/>
      <c r="E53" s="5" t="n"/>
      <c r="F53" s="16" t="n"/>
      <c r="G53" s="5" t="n"/>
      <c r="H53" s="5" t="n"/>
      <c r="I53" s="5" t="n"/>
      <c r="J53" s="5" t="n"/>
    </row>
    <row r="54">
      <c r="A54" s="17" t="n"/>
      <c r="B54" s="5" t="n"/>
      <c r="C54" s="5" t="n"/>
      <c r="D54" s="5" t="n"/>
      <c r="E54" s="5" t="n"/>
      <c r="F54" s="16" t="n"/>
      <c r="G54" s="5" t="n"/>
      <c r="H54" s="5" t="n"/>
      <c r="I54" s="5" t="n"/>
      <c r="J54" s="5" t="n"/>
    </row>
    <row r="55">
      <c r="A55" s="17" t="n"/>
      <c r="B55" s="5" t="n"/>
      <c r="C55" s="5" t="n"/>
      <c r="D55" s="5" t="n"/>
      <c r="E55" s="5" t="n"/>
      <c r="F55" s="16" t="n"/>
      <c r="G55" s="5" t="n"/>
      <c r="H55" s="5" t="n"/>
      <c r="I55" s="5" t="n"/>
      <c r="J55" s="5" t="n"/>
    </row>
    <row r="56">
      <c r="A56" s="17" t="n"/>
      <c r="B56" s="5" t="n"/>
      <c r="C56" s="5" t="n"/>
      <c r="D56" s="5" t="n"/>
      <c r="E56" s="5" t="n"/>
      <c r="F56" s="16" t="n"/>
      <c r="G56" s="5" t="n"/>
      <c r="H56" s="5" t="n"/>
      <c r="I56" s="5" t="n"/>
      <c r="J56" s="5" t="n"/>
    </row>
    <row r="57">
      <c r="A57" s="17" t="n"/>
      <c r="B57" s="5" t="n"/>
      <c r="C57" s="5" t="n"/>
      <c r="D57" s="5" t="n"/>
      <c r="E57" s="5" t="n"/>
      <c r="F57" s="16" t="n"/>
      <c r="G57" s="5" t="n"/>
      <c r="H57" s="5" t="n"/>
      <c r="I57" s="5" t="n"/>
      <c r="J57" s="5" t="n"/>
    </row>
    <row r="58">
      <c r="A58" s="17" t="n"/>
      <c r="B58" s="5" t="n"/>
      <c r="C58" s="5" t="n"/>
      <c r="D58" s="5" t="n"/>
      <c r="E58" s="5" t="n"/>
      <c r="F58" s="16" t="n"/>
      <c r="G58" s="5" t="n"/>
      <c r="H58" s="5" t="n"/>
      <c r="I58" s="5" t="n"/>
      <c r="J58" s="5" t="n"/>
    </row>
    <row r="59">
      <c r="A59" s="17" t="n"/>
      <c r="B59" s="5" t="n"/>
      <c r="C59" s="5" t="n"/>
      <c r="D59" s="5" t="n"/>
      <c r="E59" s="5" t="n"/>
      <c r="F59" s="16" t="n"/>
      <c r="G59" s="5" t="n"/>
      <c r="H59" s="5" t="n"/>
      <c r="I59" s="5" t="n"/>
      <c r="J59" s="5" t="n"/>
    </row>
    <row r="60">
      <c r="A60" s="17" t="n"/>
      <c r="B60" s="5" t="n"/>
      <c r="C60" s="5" t="n"/>
      <c r="D60" s="5" t="n"/>
      <c r="E60" s="5" t="n"/>
      <c r="F60" s="16" t="n"/>
      <c r="G60" s="5" t="n"/>
      <c r="H60" s="5" t="n"/>
      <c r="I60" s="5" t="n"/>
      <c r="J60" s="5" t="n"/>
    </row>
    <row r="61">
      <c r="A61" s="17" t="n"/>
      <c r="B61" s="5" t="n"/>
      <c r="C61" s="5" t="n"/>
      <c r="D61" s="5" t="n"/>
      <c r="E61" s="5" t="n"/>
      <c r="F61" s="16" t="n"/>
      <c r="G61" s="5" t="n"/>
      <c r="H61" s="5" t="n"/>
      <c r="I61" s="5" t="n"/>
      <c r="J61" s="5" t="n"/>
    </row>
    <row r="62">
      <c r="A62" s="17" t="n"/>
      <c r="B62" s="5" t="n"/>
      <c r="C62" s="5" t="n"/>
      <c r="D62" s="5" t="n"/>
      <c r="E62" s="5" t="n"/>
      <c r="F62" s="16" t="n"/>
      <c r="G62" s="5" t="n"/>
      <c r="H62" s="5" t="n"/>
      <c r="I62" s="5" t="n"/>
      <c r="J62" s="5" t="n"/>
    </row>
    <row r="63">
      <c r="A63" s="17" t="n"/>
      <c r="B63" s="5" t="n"/>
      <c r="C63" s="5" t="n"/>
      <c r="D63" s="5" t="n"/>
      <c r="E63" s="5" t="n"/>
      <c r="F63" s="16" t="n"/>
      <c r="G63" s="5" t="n"/>
      <c r="H63" s="5" t="n"/>
      <c r="I63" s="5" t="n"/>
      <c r="J63" s="5" t="n"/>
    </row>
    <row r="64">
      <c r="A64" s="17" t="n"/>
      <c r="B64" s="5" t="n"/>
      <c r="C64" s="5" t="n"/>
      <c r="D64" s="5" t="n"/>
      <c r="E64" s="5" t="n"/>
      <c r="F64" s="16" t="n"/>
      <c r="G64" s="5" t="n"/>
      <c r="H64" s="5" t="n"/>
      <c r="I64" s="5" t="n"/>
      <c r="J64" s="5" t="n"/>
    </row>
    <row r="65">
      <c r="A65" s="17" t="n"/>
      <c r="B65" s="5" t="n"/>
      <c r="C65" s="5" t="n"/>
      <c r="D65" s="5" t="n"/>
      <c r="E65" s="5" t="n"/>
      <c r="F65" s="16" t="n"/>
      <c r="G65" s="5" t="n"/>
      <c r="H65" s="5" t="n"/>
      <c r="I65" s="5" t="n"/>
      <c r="J65" s="5" t="n"/>
    </row>
    <row r="66">
      <c r="A66" s="17" t="n"/>
      <c r="B66" s="5" t="n"/>
      <c r="C66" s="5" t="n"/>
      <c r="D66" s="5" t="n"/>
      <c r="E66" s="5" t="n"/>
      <c r="F66" s="16" t="n"/>
      <c r="G66" s="5" t="n"/>
      <c r="H66" s="5" t="n"/>
      <c r="I66" s="5" t="n"/>
      <c r="J66" s="5" t="n"/>
    </row>
    <row r="67">
      <c r="A67" s="17" t="n"/>
      <c r="B67" s="5" t="n"/>
      <c r="C67" s="5" t="n"/>
      <c r="D67" s="5" t="n"/>
      <c r="E67" s="5" t="n"/>
      <c r="F67" s="16" t="n"/>
      <c r="G67" s="5" t="n"/>
      <c r="H67" s="5" t="n"/>
      <c r="I67" s="5" t="n"/>
      <c r="J67" s="5" t="n"/>
    </row>
    <row r="68">
      <c r="A68" s="17" t="n"/>
      <c r="B68" s="5" t="n"/>
      <c r="C68" s="5" t="n"/>
      <c r="D68" s="5" t="n"/>
      <c r="E68" s="5" t="n"/>
      <c r="F68" s="16" t="n"/>
      <c r="G68" s="5" t="n"/>
      <c r="H68" s="5" t="n"/>
      <c r="I68" s="5" t="n"/>
      <c r="J68" s="5" t="n"/>
    </row>
    <row r="69">
      <c r="A69" s="17" t="n"/>
      <c r="B69" s="5" t="n"/>
      <c r="C69" s="5" t="n"/>
      <c r="D69" s="5" t="n"/>
      <c r="E69" s="5" t="n"/>
      <c r="F69" s="16" t="n"/>
      <c r="G69" s="5" t="n"/>
      <c r="H69" s="5" t="n"/>
      <c r="I69" s="5" t="n"/>
      <c r="J69" s="5" t="n"/>
    </row>
    <row r="70">
      <c r="A70" s="17" t="n"/>
      <c r="B70" s="5" t="n"/>
      <c r="C70" s="5" t="n"/>
      <c r="D70" s="5" t="n"/>
      <c r="E70" s="5" t="n"/>
      <c r="F70" s="16" t="n"/>
      <c r="G70" s="5" t="n"/>
      <c r="H70" s="5" t="n"/>
      <c r="I70" s="5" t="n"/>
      <c r="J70" s="5" t="n"/>
    </row>
    <row r="71">
      <c r="A71" s="17" t="n"/>
      <c r="B71" s="5" t="n"/>
      <c r="C71" s="5" t="n"/>
      <c r="D71" s="5" t="n"/>
      <c r="E71" s="5" t="n"/>
      <c r="F71" s="16" t="n"/>
      <c r="G71" s="5" t="n"/>
      <c r="H71" s="5" t="n"/>
      <c r="I71" s="5" t="n"/>
      <c r="J71" s="5" t="n"/>
    </row>
    <row r="72">
      <c r="A72" s="17" t="n"/>
      <c r="B72" s="5" t="n"/>
      <c r="C72" s="5" t="n"/>
      <c r="D72" s="5" t="n"/>
      <c r="E72" s="5" t="n"/>
      <c r="F72" s="16" t="n"/>
      <c r="G72" s="5" t="n"/>
      <c r="H72" s="5" t="n"/>
      <c r="I72" s="5" t="n"/>
      <c r="J72" s="5" t="n"/>
    </row>
    <row r="73">
      <c r="A73" s="17" t="n"/>
      <c r="B73" s="5" t="n"/>
      <c r="C73" s="5" t="n"/>
      <c r="D73" s="5" t="n"/>
      <c r="E73" s="5" t="n"/>
      <c r="F73" s="16" t="n"/>
      <c r="G73" s="5" t="n"/>
      <c r="H73" s="5" t="n"/>
      <c r="I73" s="5" t="n"/>
      <c r="J73" s="5" t="n"/>
    </row>
    <row r="74">
      <c r="A74" s="17" t="n"/>
      <c r="B74" s="5" t="n"/>
      <c r="C74" s="5" t="n"/>
      <c r="D74" s="5" t="n"/>
      <c r="E74" s="5" t="n"/>
      <c r="F74" s="16" t="n"/>
      <c r="G74" s="5" t="n"/>
      <c r="H74" s="5" t="n"/>
      <c r="I74" s="5" t="n"/>
      <c r="J74" s="5" t="n"/>
    </row>
    <row r="75">
      <c r="A75" s="17" t="n"/>
      <c r="B75" s="5" t="n"/>
      <c r="C75" s="5" t="n"/>
      <c r="D75" s="5" t="n"/>
      <c r="E75" s="5" t="n"/>
      <c r="F75" s="16" t="n"/>
      <c r="G75" s="5" t="n"/>
      <c r="H75" s="5" t="n"/>
      <c r="I75" s="5" t="n"/>
      <c r="J75" s="5" t="n"/>
    </row>
    <row r="76">
      <c r="A76" s="17" t="n"/>
      <c r="B76" s="5" t="n"/>
      <c r="C76" s="5" t="n"/>
      <c r="D76" s="5" t="n"/>
      <c r="E76" s="5" t="n"/>
      <c r="F76" s="16" t="n"/>
      <c r="G76" s="5" t="n"/>
      <c r="H76" s="5" t="n"/>
      <c r="I76" s="5" t="n"/>
      <c r="J76" s="5" t="n"/>
    </row>
    <row r="77">
      <c r="A77" s="17" t="n"/>
      <c r="B77" s="5" t="n"/>
      <c r="C77" s="5" t="n"/>
      <c r="D77" s="5" t="n"/>
      <c r="E77" s="5" t="n"/>
      <c r="F77" s="16" t="n"/>
      <c r="G77" s="5" t="n"/>
      <c r="H77" s="5" t="n"/>
      <c r="I77" s="5" t="n"/>
      <c r="J77" s="5" t="n"/>
    </row>
    <row r="78">
      <c r="A78" s="17" t="n"/>
      <c r="B78" s="5" t="n"/>
      <c r="C78" s="5" t="n"/>
      <c r="D78" s="5" t="n"/>
      <c r="E78" s="5" t="n"/>
      <c r="F78" s="16" t="n"/>
      <c r="G78" s="5" t="n"/>
      <c r="H78" s="5" t="n"/>
      <c r="I78" s="5" t="n"/>
      <c r="J78" s="5" t="n"/>
    </row>
    <row r="79">
      <c r="A79" s="17" t="n"/>
      <c r="B79" s="5" t="n"/>
      <c r="C79" s="5" t="n"/>
      <c r="D79" s="5" t="n"/>
      <c r="E79" s="5" t="n"/>
      <c r="F79" s="16" t="n"/>
      <c r="G79" s="5" t="n"/>
      <c r="H79" s="5" t="n"/>
      <c r="I79" s="5" t="n"/>
      <c r="J79" s="5" t="n"/>
    </row>
    <row r="80">
      <c r="A80" s="17" t="n"/>
      <c r="B80" s="5" t="n"/>
      <c r="C80" s="5" t="n"/>
      <c r="D80" s="5" t="n"/>
      <c r="E80" s="5" t="n"/>
      <c r="F80" s="16" t="n"/>
      <c r="G80" s="5" t="n"/>
      <c r="H80" s="5" t="n"/>
      <c r="I80" s="5" t="n"/>
      <c r="J80" s="5" t="n"/>
    </row>
    <row r="81">
      <c r="A81" s="17" t="n"/>
      <c r="B81" s="5" t="n"/>
      <c r="C81" s="5" t="n"/>
      <c r="D81" s="5" t="n"/>
      <c r="E81" s="5" t="n"/>
      <c r="F81" s="16" t="n"/>
      <c r="G81" s="5" t="n"/>
      <c r="H81" s="5" t="n"/>
      <c r="I81" s="5" t="n"/>
      <c r="J81" s="5" t="n"/>
    </row>
    <row r="82">
      <c r="A82" s="17" t="n"/>
      <c r="B82" s="5" t="n"/>
      <c r="C82" s="5" t="n"/>
      <c r="D82" s="5" t="n"/>
      <c r="E82" s="5" t="n"/>
      <c r="F82" s="16" t="n"/>
      <c r="G82" s="5" t="n"/>
      <c r="H82" s="5" t="n"/>
      <c r="I82" s="5" t="n"/>
      <c r="J82" s="5" t="n"/>
    </row>
    <row r="83">
      <c r="A83" s="17" t="n"/>
      <c r="B83" s="5" t="n"/>
      <c r="C83" s="5" t="n"/>
      <c r="D83" s="5" t="n"/>
      <c r="E83" s="5" t="n"/>
      <c r="F83" s="16" t="n"/>
      <c r="G83" s="5" t="n"/>
      <c r="H83" s="5" t="n"/>
      <c r="I83" s="5" t="n"/>
      <c r="J83" s="5" t="n"/>
    </row>
    <row r="84">
      <c r="A84" s="17" t="n"/>
      <c r="B84" s="5" t="n"/>
      <c r="C84" s="5" t="n"/>
      <c r="D84" s="5" t="n"/>
      <c r="E84" s="5" t="n"/>
      <c r="F84" s="16" t="n"/>
      <c r="G84" s="5" t="n"/>
      <c r="H84" s="5" t="n"/>
      <c r="I84" s="5" t="n"/>
      <c r="J84" s="5" t="n"/>
    </row>
    <row r="85">
      <c r="A85" s="17" t="n"/>
      <c r="B85" s="5" t="n"/>
      <c r="C85" s="5" t="n"/>
      <c r="D85" s="5" t="n"/>
      <c r="E85" s="5" t="n"/>
      <c r="F85" s="16" t="n"/>
      <c r="G85" s="5" t="n"/>
      <c r="H85" s="5" t="n"/>
      <c r="I85" s="5" t="n"/>
      <c r="J85" s="5" t="n"/>
    </row>
    <row r="86">
      <c r="A86" s="17" t="n"/>
      <c r="B86" s="5" t="n"/>
      <c r="C86" s="5" t="n"/>
      <c r="D86" s="5" t="n"/>
      <c r="E86" s="5" t="n"/>
      <c r="F86" s="16" t="n"/>
      <c r="G86" s="5" t="n"/>
      <c r="H86" s="5" t="n"/>
      <c r="I86" s="5" t="n"/>
      <c r="J86" s="5" t="n"/>
    </row>
    <row r="87">
      <c r="A87" s="17" t="n"/>
      <c r="B87" s="5" t="n"/>
      <c r="C87" s="5" t="n"/>
      <c r="D87" s="5" t="n"/>
      <c r="E87" s="5" t="n"/>
      <c r="F87" s="16" t="n"/>
      <c r="G87" s="5" t="n"/>
      <c r="H87" s="5" t="n"/>
      <c r="I87" s="5" t="n"/>
      <c r="J87" s="5" t="n"/>
    </row>
    <row r="88">
      <c r="A88" s="17" t="n"/>
      <c r="B88" s="5" t="n"/>
      <c r="C88" s="5" t="n"/>
      <c r="D88" s="5" t="n"/>
      <c r="E88" s="5" t="n"/>
      <c r="F88" s="16" t="n"/>
      <c r="G88" s="5" t="n"/>
      <c r="H88" s="5" t="n"/>
      <c r="I88" s="5" t="n"/>
      <c r="J88" s="5" t="n"/>
    </row>
    <row r="89">
      <c r="A89" s="17" t="n"/>
      <c r="B89" s="5" t="n"/>
      <c r="C89" s="5" t="n"/>
      <c r="D89" s="5" t="n"/>
      <c r="E89" s="5" t="n"/>
      <c r="F89" s="16" t="n"/>
      <c r="G89" s="5" t="n"/>
      <c r="H89" s="5" t="n"/>
      <c r="I89" s="5" t="n"/>
      <c r="J89" s="5" t="n"/>
    </row>
    <row r="90">
      <c r="A90" s="17" t="n"/>
      <c r="B90" s="5" t="n"/>
      <c r="C90" s="5" t="n"/>
      <c r="D90" s="5" t="n"/>
      <c r="E90" s="5" t="n"/>
      <c r="F90" s="16" t="n"/>
      <c r="G90" s="5" t="n"/>
      <c r="H90" s="5" t="n"/>
      <c r="I90" s="5" t="n"/>
      <c r="J90" s="5" t="n"/>
    </row>
    <row r="91">
      <c r="A91" s="17" t="n"/>
      <c r="B91" s="5" t="n"/>
      <c r="C91" s="5" t="n"/>
      <c r="D91" s="5" t="n"/>
      <c r="E91" s="5" t="n"/>
      <c r="F91" s="16" t="n"/>
      <c r="G91" s="5" t="n"/>
      <c r="H91" s="5" t="n"/>
      <c r="I91" s="5" t="n"/>
      <c r="J91" s="5" t="n"/>
    </row>
    <row r="92">
      <c r="A92" s="17" t="n"/>
      <c r="B92" s="5" t="n"/>
      <c r="C92" s="5" t="n"/>
      <c r="D92" s="5" t="n"/>
      <c r="E92" s="5" t="n"/>
      <c r="F92" s="16" t="n"/>
      <c r="G92" s="5" t="n"/>
      <c r="H92" s="5" t="n"/>
      <c r="I92" s="5" t="n"/>
      <c r="J92" s="5" t="n"/>
    </row>
    <row r="93">
      <c r="A93" s="17" t="n"/>
      <c r="B93" s="5" t="n"/>
      <c r="C93" s="5" t="n"/>
      <c r="D93" s="5" t="n"/>
      <c r="E93" s="5" t="n"/>
      <c r="F93" s="16" t="n"/>
      <c r="G93" s="5" t="n"/>
      <c r="H93" s="5" t="n"/>
      <c r="I93" s="5" t="n"/>
      <c r="J93" s="5" t="n"/>
    </row>
    <row r="94">
      <c r="A94" s="17" t="n"/>
      <c r="B94" s="5" t="n"/>
      <c r="C94" s="5" t="n"/>
      <c r="D94" s="5" t="n"/>
      <c r="E94" s="5" t="n"/>
      <c r="F94" s="16" t="n"/>
      <c r="G94" s="5" t="n"/>
      <c r="H94" s="5" t="n"/>
      <c r="I94" s="5" t="n"/>
      <c r="J94" s="5" t="n"/>
    </row>
    <row r="95">
      <c r="A95" s="17" t="n"/>
      <c r="B95" s="5" t="n"/>
      <c r="C95" s="5" t="n"/>
      <c r="D95" s="5" t="n"/>
      <c r="E95" s="5" t="n"/>
      <c r="F95" s="16" t="n"/>
      <c r="G95" s="5" t="n"/>
      <c r="H95" s="5" t="n"/>
      <c r="I95" s="5" t="n"/>
      <c r="J95" s="5" t="n"/>
    </row>
    <row r="96">
      <c r="A96" s="17" t="n"/>
      <c r="B96" s="5" t="n"/>
      <c r="C96" s="5" t="n"/>
      <c r="D96" s="5" t="n"/>
      <c r="E96" s="5" t="n"/>
      <c r="F96" s="16" t="n"/>
      <c r="G96" s="5" t="n"/>
      <c r="H96" s="5" t="n"/>
      <c r="I96" s="5" t="n"/>
      <c r="J96" s="5" t="n"/>
    </row>
    <row r="97">
      <c r="A97" s="17" t="n"/>
      <c r="B97" s="5" t="n"/>
      <c r="C97" s="5" t="n"/>
      <c r="D97" s="5" t="n"/>
      <c r="E97" s="5" t="n"/>
      <c r="F97" s="16" t="n"/>
      <c r="G97" s="5" t="n"/>
      <c r="H97" s="5" t="n"/>
      <c r="I97" s="5" t="n"/>
      <c r="J97" s="5" t="n"/>
    </row>
    <row r="98">
      <c r="A98" s="17" t="n"/>
      <c r="B98" s="5" t="n"/>
      <c r="C98" s="5" t="n"/>
      <c r="D98" s="5" t="n"/>
      <c r="E98" s="5" t="n"/>
      <c r="F98" s="16" t="n"/>
      <c r="G98" s="5" t="n"/>
      <c r="H98" s="5" t="n"/>
      <c r="I98" s="5" t="n"/>
      <c r="J98" s="5" t="n"/>
    </row>
    <row r="99">
      <c r="A99" s="17" t="n"/>
      <c r="B99" s="5" t="n"/>
      <c r="C99" s="5" t="n"/>
      <c r="D99" s="5" t="n"/>
      <c r="E99" s="5" t="n"/>
      <c r="F99" s="16" t="n"/>
      <c r="G99" s="5" t="n"/>
      <c r="H99" s="5" t="n"/>
      <c r="I99" s="5" t="n"/>
      <c r="J99" s="5" t="n"/>
    </row>
    <row r="100">
      <c r="A100" s="17" t="n"/>
      <c r="B100" s="5" t="n"/>
      <c r="C100" s="5" t="n"/>
      <c r="D100" s="5" t="n"/>
      <c r="E100" s="5" t="n"/>
      <c r="F100" s="16" t="n"/>
      <c r="G100" s="5" t="n"/>
      <c r="H100" s="5" t="n"/>
      <c r="I100" s="5" t="n"/>
      <c r="J100" s="5" t="n"/>
    </row>
    <row r="101">
      <c r="A101" s="17" t="n"/>
      <c r="B101" s="5" t="n"/>
      <c r="C101" s="5" t="n"/>
      <c r="D101" s="5" t="n"/>
      <c r="E101" s="5" t="n"/>
      <c r="F101" s="16" t="n"/>
      <c r="G101" s="5" t="n"/>
      <c r="H101" s="5" t="n"/>
      <c r="I101" s="5" t="n"/>
      <c r="J101" s="5" t="n"/>
    </row>
    <row r="102">
      <c r="A102" s="17" t="n"/>
      <c r="B102" s="5" t="n"/>
      <c r="C102" s="5" t="n"/>
      <c r="D102" s="5" t="n"/>
      <c r="E102" s="5" t="n"/>
      <c r="F102" s="16" t="n"/>
      <c r="G102" s="5" t="n"/>
      <c r="H102" s="5" t="n"/>
      <c r="I102" s="5" t="n"/>
      <c r="J102" s="5" t="n"/>
    </row>
    <row r="103">
      <c r="A103" s="17" t="n"/>
      <c r="B103" s="5" t="n"/>
      <c r="C103" s="5" t="n"/>
      <c r="D103" s="5" t="n"/>
      <c r="E103" s="5" t="n"/>
      <c r="F103" s="16" t="n"/>
      <c r="G103" s="5" t="n"/>
      <c r="H103" s="5" t="n"/>
      <c r="I103" s="5" t="n"/>
      <c r="J103" s="5" t="n"/>
    </row>
    <row r="104">
      <c r="A104" s="17" t="n"/>
      <c r="B104" s="5" t="n"/>
      <c r="C104" s="5" t="n"/>
      <c r="D104" s="5" t="n"/>
      <c r="E104" s="5" t="n"/>
      <c r="F104" s="16" t="n"/>
      <c r="G104" s="5" t="n"/>
      <c r="H104" s="5" t="n"/>
      <c r="I104" s="5" t="n"/>
      <c r="J104" s="5" t="n"/>
    </row>
    <row r="105">
      <c r="A105" s="17" t="n"/>
      <c r="B105" s="5" t="n"/>
      <c r="C105" s="5" t="n"/>
      <c r="D105" s="5" t="n"/>
      <c r="E105" s="5" t="n"/>
      <c r="F105" s="16" t="n"/>
      <c r="G105" s="5" t="n"/>
      <c r="H105" s="5" t="n"/>
      <c r="I105" s="5" t="n"/>
      <c r="J105" s="5" t="n"/>
    </row>
    <row r="106">
      <c r="A106" s="17" t="n"/>
      <c r="B106" s="5" t="n"/>
      <c r="C106" s="5" t="n"/>
      <c r="D106" s="5" t="n"/>
      <c r="E106" s="5" t="n"/>
      <c r="F106" s="16" t="n"/>
      <c r="G106" s="5" t="n"/>
      <c r="H106" s="5" t="n"/>
      <c r="I106" s="5" t="n"/>
      <c r="J106" s="5" t="n"/>
    </row>
    <row r="107">
      <c r="A107" s="17" t="n"/>
      <c r="B107" s="5" t="n"/>
      <c r="C107" s="5" t="n"/>
      <c r="D107" s="5" t="n"/>
      <c r="E107" s="5" t="n"/>
      <c r="F107" s="16" t="n"/>
      <c r="G107" s="5" t="n"/>
      <c r="H107" s="5" t="n"/>
      <c r="I107" s="5" t="n"/>
      <c r="J107" s="5" t="n"/>
    </row>
    <row r="108">
      <c r="A108" s="17" t="n"/>
      <c r="B108" s="5" t="n"/>
      <c r="C108" s="5" t="n"/>
      <c r="D108" s="5" t="n"/>
      <c r="E108" s="5" t="n"/>
      <c r="F108" s="16" t="n"/>
      <c r="G108" s="5" t="n"/>
      <c r="H108" s="5" t="n"/>
      <c r="I108" s="5" t="n"/>
      <c r="J108" s="5" t="n"/>
    </row>
    <row r="109">
      <c r="A109" s="17" t="n"/>
      <c r="B109" s="5" t="n"/>
      <c r="C109" s="5" t="n"/>
      <c r="D109" s="5" t="n"/>
      <c r="E109" s="5" t="n"/>
      <c r="F109" s="16" t="n"/>
      <c r="G109" s="5" t="n"/>
      <c r="H109" s="5" t="n"/>
      <c r="I109" s="5" t="n"/>
      <c r="J109" s="5" t="n"/>
    </row>
    <row r="110">
      <c r="A110" s="17" t="n"/>
      <c r="B110" s="5" t="n"/>
      <c r="C110" s="5" t="n"/>
      <c r="D110" s="5" t="n"/>
      <c r="E110" s="5" t="n"/>
      <c r="F110" s="16" t="n"/>
      <c r="G110" s="5" t="n"/>
      <c r="H110" s="5" t="n"/>
      <c r="I110" s="5" t="n"/>
      <c r="J110" s="5" t="n"/>
    </row>
    <row r="111">
      <c r="A111" s="17" t="n"/>
      <c r="B111" s="5" t="n"/>
      <c r="C111" s="5" t="n"/>
      <c r="D111" s="5" t="n"/>
      <c r="E111" s="5" t="n"/>
      <c r="F111" s="16" t="n"/>
      <c r="G111" s="5" t="n"/>
      <c r="H111" s="5" t="n"/>
      <c r="I111" s="5" t="n"/>
      <c r="J111" s="5" t="n"/>
    </row>
    <row r="112">
      <c r="A112" s="17" t="n"/>
      <c r="B112" s="5" t="n"/>
      <c r="C112" s="5" t="n"/>
      <c r="D112" s="5" t="n"/>
      <c r="E112" s="5" t="n"/>
      <c r="F112" s="16" t="n"/>
      <c r="G112" s="5" t="n"/>
      <c r="H112" s="5" t="n"/>
      <c r="I112" s="5" t="n"/>
      <c r="J112" s="5" t="n"/>
    </row>
    <row r="113">
      <c r="A113" s="17" t="n"/>
      <c r="B113" s="5" t="n"/>
      <c r="C113" s="5" t="n"/>
      <c r="D113" s="5" t="n"/>
      <c r="E113" s="5" t="n"/>
      <c r="F113" s="16" t="n"/>
      <c r="G113" s="5" t="n"/>
      <c r="H113" s="5" t="n"/>
      <c r="I113" s="5" t="n"/>
      <c r="J113" s="5" t="n"/>
    </row>
    <row r="114">
      <c r="A114" s="17" t="n"/>
      <c r="B114" s="5" t="n"/>
      <c r="C114" s="5" t="n"/>
      <c r="D114" s="5" t="n"/>
      <c r="E114" s="5" t="n"/>
      <c r="F114" s="16" t="n"/>
      <c r="G114" s="5" t="n"/>
      <c r="H114" s="5" t="n"/>
      <c r="I114" s="5" t="n"/>
      <c r="J114" s="5" t="n"/>
    </row>
    <row r="115">
      <c r="A115" s="17" t="n"/>
      <c r="B115" s="5" t="n"/>
      <c r="C115" s="5" t="n"/>
      <c r="D115" s="5" t="n"/>
      <c r="E115" s="5" t="n"/>
      <c r="F115" s="16" t="n"/>
      <c r="G115" s="5" t="n"/>
      <c r="H115" s="5" t="n"/>
      <c r="I115" s="5" t="n"/>
      <c r="J115" s="5" t="n"/>
    </row>
    <row r="116">
      <c r="A116" s="17" t="n"/>
      <c r="B116" s="5" t="n"/>
      <c r="C116" s="5" t="n"/>
      <c r="D116" s="5" t="n"/>
      <c r="E116" s="5" t="n"/>
      <c r="F116" s="16" t="n"/>
      <c r="G116" s="5" t="n"/>
      <c r="H116" s="5" t="n"/>
      <c r="I116" s="5" t="n"/>
      <c r="J116" s="5" t="n"/>
    </row>
    <row r="117">
      <c r="A117" s="17" t="n"/>
      <c r="B117" s="5" t="n"/>
      <c r="C117" s="5" t="n"/>
      <c r="D117" s="5" t="n"/>
      <c r="E117" s="5" t="n"/>
      <c r="F117" s="16" t="n"/>
      <c r="G117" s="5" t="n"/>
      <c r="H117" s="5" t="n"/>
      <c r="I117" s="5" t="n"/>
      <c r="J117" s="5" t="n"/>
    </row>
    <row r="118">
      <c r="A118" s="17" t="n"/>
      <c r="B118" s="5" t="n"/>
      <c r="C118" s="5" t="n"/>
      <c r="D118" s="5" t="n"/>
      <c r="E118" s="5" t="n"/>
      <c r="F118" s="16" t="n"/>
      <c r="G118" s="5" t="n"/>
      <c r="H118" s="5" t="n"/>
      <c r="I118" s="5" t="n"/>
      <c r="J118" s="5" t="n"/>
    </row>
    <row r="119">
      <c r="A119" s="17" t="n"/>
      <c r="B119" s="5" t="n"/>
      <c r="C119" s="5" t="n"/>
      <c r="D119" s="5" t="n"/>
      <c r="E119" s="5" t="n"/>
      <c r="F119" s="16" t="n"/>
      <c r="G119" s="5" t="n"/>
      <c r="H119" s="5" t="n"/>
      <c r="I119" s="5" t="n"/>
      <c r="J119" s="5" t="n"/>
    </row>
    <row r="120">
      <c r="A120" s="17" t="n"/>
      <c r="B120" s="5" t="n"/>
      <c r="C120" s="5" t="n"/>
      <c r="D120" s="5" t="n"/>
      <c r="E120" s="5" t="n"/>
      <c r="F120" s="16" t="n"/>
      <c r="G120" s="5" t="n"/>
      <c r="H120" s="5" t="n"/>
      <c r="I120" s="5" t="n"/>
      <c r="J120" s="5" t="n"/>
    </row>
    <row r="121">
      <c r="A121" s="17" t="n"/>
      <c r="B121" s="5" t="n"/>
      <c r="C121" s="5" t="n"/>
      <c r="D121" s="5" t="n"/>
      <c r="E121" s="5" t="n"/>
      <c r="F121" s="16" t="n"/>
      <c r="G121" s="5" t="n"/>
      <c r="H121" s="5" t="n"/>
      <c r="I121" s="5" t="n"/>
      <c r="J121" s="5" t="n"/>
    </row>
    <row r="122">
      <c r="A122" s="17" t="n"/>
      <c r="B122" s="5" t="n"/>
      <c r="C122" s="5" t="n"/>
      <c r="D122" s="5" t="n"/>
      <c r="E122" s="5" t="n"/>
      <c r="F122" s="16" t="n"/>
      <c r="G122" s="5" t="n"/>
      <c r="H122" s="5" t="n"/>
      <c r="I122" s="5" t="n"/>
      <c r="J122" s="5" t="n"/>
    </row>
    <row r="123">
      <c r="A123" s="17" t="n"/>
      <c r="B123" s="5" t="n"/>
      <c r="C123" s="5" t="n"/>
      <c r="D123" s="5" t="n"/>
      <c r="E123" s="5" t="n"/>
      <c r="F123" s="16" t="n"/>
      <c r="G123" s="5" t="n"/>
      <c r="H123" s="5" t="n"/>
      <c r="I123" s="5" t="n"/>
      <c r="J123" s="5" t="n"/>
    </row>
    <row r="124">
      <c r="A124" s="17" t="n"/>
      <c r="B124" s="5" t="n"/>
      <c r="C124" s="5" t="n"/>
      <c r="D124" s="5" t="n"/>
      <c r="E124" s="5" t="n"/>
      <c r="F124" s="16" t="n"/>
      <c r="G124" s="5" t="n"/>
      <c r="H124" s="5" t="n"/>
      <c r="I124" s="5" t="n"/>
      <c r="J124" s="5" t="n"/>
    </row>
    <row r="125">
      <c r="A125" s="17" t="n"/>
      <c r="B125" s="5" t="n"/>
      <c r="C125" s="5" t="n"/>
      <c r="D125" s="5" t="n"/>
      <c r="E125" s="5" t="n"/>
      <c r="F125" s="16" t="n"/>
      <c r="G125" s="5" t="n"/>
      <c r="H125" s="5" t="n"/>
      <c r="I125" s="5" t="n"/>
      <c r="J125" s="5" t="n"/>
    </row>
    <row r="126">
      <c r="A126" s="17" t="n"/>
      <c r="B126" s="5" t="n"/>
      <c r="C126" s="5" t="n"/>
      <c r="D126" s="5" t="n"/>
      <c r="E126" s="5" t="n"/>
      <c r="F126" s="16" t="n"/>
      <c r="G126" s="5" t="n"/>
      <c r="H126" s="5" t="n"/>
      <c r="I126" s="5" t="n"/>
      <c r="J126" s="5" t="n"/>
    </row>
    <row r="127">
      <c r="A127" s="17" t="n"/>
      <c r="B127" s="5" t="n"/>
      <c r="C127" s="5" t="n"/>
      <c r="D127" s="5" t="n"/>
      <c r="E127" s="5" t="n"/>
      <c r="F127" s="16" t="n"/>
      <c r="G127" s="5" t="n"/>
      <c r="H127" s="5" t="n"/>
      <c r="I127" s="5" t="n"/>
      <c r="J127" s="5" t="n"/>
    </row>
    <row r="128">
      <c r="A128" s="17" t="n"/>
      <c r="B128" s="5" t="n"/>
      <c r="C128" s="5" t="n"/>
      <c r="D128" s="5" t="n"/>
      <c r="E128" s="5" t="n"/>
      <c r="F128" s="16" t="n"/>
      <c r="G128" s="5" t="n"/>
      <c r="H128" s="5" t="n"/>
      <c r="I128" s="5" t="n"/>
      <c r="J128" s="5" t="n"/>
    </row>
    <row r="129">
      <c r="A129" s="17" t="n"/>
      <c r="B129" s="5" t="n"/>
      <c r="C129" s="5" t="n"/>
      <c r="D129" s="5" t="n"/>
      <c r="E129" s="5" t="n"/>
      <c r="F129" s="16" t="n"/>
      <c r="G129" s="5" t="n"/>
      <c r="H129" s="5" t="n"/>
      <c r="I129" s="5" t="n"/>
      <c r="J129" s="5" t="n"/>
    </row>
    <row r="130">
      <c r="A130" s="17" t="n"/>
      <c r="B130" s="5" t="n"/>
      <c r="C130" s="5" t="n"/>
      <c r="D130" s="5" t="n"/>
      <c r="E130" s="5" t="n"/>
      <c r="F130" s="16" t="n"/>
      <c r="G130" s="5" t="n"/>
      <c r="H130" s="5" t="n"/>
      <c r="I130" s="5" t="n"/>
      <c r="J130" s="5" t="n"/>
    </row>
    <row r="131">
      <c r="A131" s="17" t="n"/>
      <c r="B131" s="5" t="n"/>
      <c r="C131" s="5" t="n"/>
      <c r="D131" s="5" t="n"/>
      <c r="E131" s="5" t="n"/>
      <c r="F131" s="16" t="n"/>
      <c r="G131" s="5" t="n"/>
      <c r="H131" s="5" t="n"/>
      <c r="I131" s="5" t="n"/>
      <c r="J131" s="5" t="n"/>
    </row>
    <row r="132">
      <c r="A132" s="17" t="n"/>
      <c r="B132" s="5" t="n"/>
      <c r="C132" s="5" t="n"/>
      <c r="D132" s="5" t="n"/>
      <c r="E132" s="5" t="n"/>
      <c r="F132" s="16" t="n"/>
      <c r="G132" s="5" t="n"/>
      <c r="H132" s="5" t="n"/>
      <c r="I132" s="5" t="n"/>
      <c r="J132" s="5" t="n"/>
    </row>
    <row r="133">
      <c r="A133" s="17" t="n"/>
      <c r="B133" s="5" t="n"/>
      <c r="C133" s="5" t="n"/>
      <c r="D133" s="5" t="n"/>
      <c r="E133" s="5" t="n"/>
      <c r="F133" s="16" t="n"/>
      <c r="G133" s="5" t="n"/>
      <c r="H133" s="5" t="n"/>
      <c r="I133" s="5" t="n"/>
      <c r="J133" s="5" t="n"/>
    </row>
    <row r="134">
      <c r="A134" s="17" t="n"/>
      <c r="B134" s="5" t="n"/>
      <c r="C134" s="5" t="n"/>
      <c r="D134" s="5" t="n"/>
      <c r="E134" s="5" t="n"/>
      <c r="F134" s="16" t="n"/>
      <c r="G134" s="5" t="n"/>
      <c r="H134" s="5" t="n"/>
      <c r="I134" s="5" t="n"/>
      <c r="J134" s="5" t="n"/>
    </row>
    <row r="135">
      <c r="A135" s="17" t="n"/>
      <c r="B135" s="5" t="n"/>
      <c r="C135" s="5" t="n"/>
      <c r="D135" s="5" t="n"/>
      <c r="E135" s="5" t="n"/>
      <c r="F135" s="16" t="n"/>
      <c r="G135" s="5" t="n"/>
      <c r="H135" s="5" t="n"/>
      <c r="I135" s="5" t="n"/>
      <c r="J135" s="5" t="n"/>
    </row>
    <row r="136">
      <c r="A136" s="17" t="n"/>
      <c r="B136" s="5" t="n"/>
      <c r="C136" s="5" t="n"/>
      <c r="D136" s="5" t="n"/>
      <c r="E136" s="5" t="n"/>
      <c r="F136" s="16" t="n"/>
      <c r="G136" s="5" t="n"/>
      <c r="H136" s="5" t="n"/>
      <c r="I136" s="5" t="n"/>
      <c r="J136" s="5" t="n"/>
    </row>
    <row r="137">
      <c r="A137" s="17" t="n"/>
      <c r="B137" s="5" t="n"/>
      <c r="C137" s="5" t="n"/>
      <c r="D137" s="5" t="n"/>
      <c r="E137" s="5" t="n"/>
      <c r="F137" s="16" t="n"/>
      <c r="G137" s="5" t="n"/>
      <c r="H137" s="5" t="n"/>
      <c r="I137" s="5" t="n"/>
      <c r="J137" s="5" t="n"/>
    </row>
    <row r="138">
      <c r="A138" s="17" t="n"/>
      <c r="B138" s="5" t="n"/>
      <c r="C138" s="5" t="n"/>
      <c r="D138" s="5" t="n"/>
      <c r="E138" s="5" t="n"/>
      <c r="F138" s="16" t="n"/>
      <c r="G138" s="5" t="n"/>
      <c r="H138" s="5" t="n"/>
      <c r="I138" s="5" t="n"/>
      <c r="J138" s="5" t="n"/>
    </row>
    <row r="139">
      <c r="A139" s="17" t="n"/>
      <c r="B139" s="5" t="n"/>
      <c r="C139" s="5" t="n"/>
      <c r="D139" s="5" t="n"/>
      <c r="E139" s="5" t="n"/>
      <c r="F139" s="16" t="n"/>
      <c r="G139" s="5" t="n"/>
      <c r="H139" s="5" t="n"/>
      <c r="I139" s="5" t="n"/>
      <c r="J139" s="5" t="n"/>
    </row>
    <row r="140">
      <c r="A140" s="17" t="n"/>
      <c r="B140" s="5" t="n"/>
      <c r="C140" s="5" t="n"/>
      <c r="D140" s="5" t="n"/>
      <c r="E140" s="5" t="n"/>
      <c r="F140" s="16" t="n"/>
      <c r="G140" s="5" t="n"/>
      <c r="H140" s="5" t="n"/>
      <c r="I140" s="5" t="n"/>
      <c r="J140" s="5" t="n"/>
    </row>
    <row r="141">
      <c r="A141" s="17" t="n"/>
      <c r="B141" s="5" t="n"/>
      <c r="C141" s="5" t="n"/>
      <c r="D141" s="5" t="n"/>
      <c r="E141" s="5" t="n"/>
      <c r="F141" s="16" t="n"/>
      <c r="G141" s="5" t="n"/>
      <c r="H141" s="5" t="n"/>
      <c r="I141" s="5" t="n"/>
      <c r="J141" s="5" t="n"/>
    </row>
    <row r="142">
      <c r="A142" s="17" t="n"/>
      <c r="B142" s="5" t="n"/>
      <c r="C142" s="5" t="n"/>
      <c r="D142" s="5" t="n"/>
      <c r="E142" s="5" t="n"/>
      <c r="F142" s="16" t="n"/>
      <c r="G142" s="5" t="n"/>
      <c r="H142" s="5" t="n"/>
      <c r="I142" s="5" t="n"/>
      <c r="J142" s="5" t="n"/>
    </row>
    <row r="143">
      <c r="A143" s="17" t="n"/>
      <c r="B143" s="5" t="n"/>
      <c r="C143" s="5" t="n"/>
      <c r="D143" s="5" t="n"/>
      <c r="E143" s="5" t="n"/>
      <c r="F143" s="16" t="n"/>
      <c r="G143" s="5" t="n"/>
      <c r="H143" s="5" t="n"/>
      <c r="I143" s="5" t="n"/>
      <c r="J143" s="5" t="n"/>
    </row>
    <row r="144">
      <c r="A144" s="17" t="n"/>
      <c r="B144" s="5" t="n"/>
      <c r="C144" s="5" t="n"/>
      <c r="D144" s="5" t="n"/>
      <c r="E144" s="5" t="n"/>
      <c r="F144" s="16" t="n"/>
      <c r="G144" s="5" t="n"/>
      <c r="H144" s="5" t="n"/>
      <c r="I144" s="5" t="n"/>
      <c r="J144" s="5" t="n"/>
    </row>
    <row r="145">
      <c r="A145" s="17" t="n"/>
      <c r="B145" s="5" t="n"/>
      <c r="C145" s="5" t="n"/>
      <c r="D145" s="5" t="n"/>
      <c r="E145" s="5" t="n"/>
      <c r="F145" s="16" t="n"/>
      <c r="G145" s="5" t="n"/>
      <c r="H145" s="5" t="n"/>
      <c r="I145" s="5" t="n"/>
      <c r="J145" s="5" t="n"/>
    </row>
    <row r="146">
      <c r="A146" s="17" t="n"/>
      <c r="B146" s="5" t="n"/>
      <c r="C146" s="5" t="n"/>
      <c r="D146" s="5" t="n"/>
      <c r="E146" s="5" t="n"/>
      <c r="F146" s="16" t="n"/>
      <c r="G146" s="5" t="n"/>
      <c r="H146" s="5" t="n"/>
      <c r="I146" s="5" t="n"/>
      <c r="J146" s="5" t="n"/>
    </row>
    <row r="147">
      <c r="A147" s="17" t="n"/>
      <c r="B147" s="5" t="n"/>
      <c r="C147" s="5" t="n"/>
      <c r="D147" s="5" t="n"/>
      <c r="E147" s="5" t="n"/>
      <c r="F147" s="16" t="n"/>
      <c r="G147" s="5" t="n"/>
      <c r="H147" s="5" t="n"/>
      <c r="I147" s="5" t="n"/>
      <c r="J147" s="5" t="n"/>
    </row>
    <row r="148">
      <c r="A148" s="17" t="n"/>
      <c r="B148" s="5" t="n"/>
      <c r="C148" s="5" t="n"/>
      <c r="D148" s="5" t="n"/>
      <c r="E148" s="5" t="n"/>
      <c r="F148" s="16" t="n"/>
      <c r="G148" s="5" t="n"/>
      <c r="H148" s="5" t="n"/>
      <c r="I148" s="5" t="n"/>
      <c r="J148" s="5" t="n"/>
    </row>
    <row r="149">
      <c r="A149" s="17" t="n"/>
      <c r="B149" s="5" t="n"/>
      <c r="C149" s="5" t="n"/>
      <c r="D149" s="5" t="n"/>
      <c r="E149" s="5" t="n"/>
      <c r="F149" s="16" t="n"/>
      <c r="G149" s="5" t="n"/>
      <c r="H149" s="5" t="n"/>
      <c r="I149" s="5" t="n"/>
      <c r="J149" s="5" t="n"/>
    </row>
    <row r="150">
      <c r="A150" s="17" t="n"/>
      <c r="B150" s="5" t="n"/>
      <c r="C150" s="5" t="n"/>
      <c r="D150" s="5" t="n"/>
      <c r="E150" s="5" t="n"/>
      <c r="F150" s="16" t="n"/>
      <c r="G150" s="5" t="n"/>
      <c r="H150" s="5" t="n"/>
      <c r="I150" s="5" t="n"/>
      <c r="J150" s="5" t="n"/>
    </row>
    <row r="151">
      <c r="A151" s="17" t="n"/>
      <c r="B151" s="5" t="n"/>
      <c r="C151" s="5" t="n"/>
      <c r="D151" s="5" t="n"/>
      <c r="E151" s="5" t="n"/>
      <c r="F151" s="16" t="n"/>
      <c r="G151" s="5" t="n"/>
      <c r="H151" s="5" t="n"/>
      <c r="I151" s="5" t="n"/>
      <c r="J151" s="5" t="n"/>
    </row>
    <row r="152">
      <c r="A152" s="17" t="n"/>
      <c r="B152" s="5" t="n"/>
      <c r="C152" s="5" t="n"/>
      <c r="D152" s="5" t="n"/>
      <c r="E152" s="5" t="n"/>
      <c r="F152" s="16" t="n"/>
      <c r="G152" s="5" t="n"/>
      <c r="H152" s="5" t="n"/>
      <c r="I152" s="5" t="n"/>
      <c r="J152" s="5" t="n"/>
    </row>
    <row r="153">
      <c r="A153" s="17" t="n"/>
      <c r="B153" s="5" t="n"/>
      <c r="C153" s="5" t="n"/>
      <c r="D153" s="5" t="n"/>
      <c r="E153" s="5" t="n"/>
      <c r="F153" s="16" t="n"/>
      <c r="G153" s="5" t="n"/>
      <c r="H153" s="5" t="n"/>
      <c r="I153" s="5" t="n"/>
      <c r="J153" s="5" t="n"/>
    </row>
    <row r="154">
      <c r="A154" s="17" t="n"/>
      <c r="B154" s="5" t="n"/>
      <c r="C154" s="5" t="n"/>
      <c r="D154" s="5" t="n"/>
      <c r="E154" s="5" t="n"/>
      <c r="F154" s="16" t="n"/>
      <c r="G154" s="5" t="n"/>
      <c r="H154" s="5" t="n"/>
      <c r="I154" s="5" t="n"/>
      <c r="J154" s="5" t="n"/>
    </row>
    <row r="155">
      <c r="A155" s="17" t="n"/>
      <c r="B155" s="5" t="n"/>
      <c r="C155" s="5" t="n"/>
      <c r="D155" s="5" t="n"/>
      <c r="E155" s="5" t="n"/>
      <c r="F155" s="16" t="n"/>
      <c r="G155" s="5" t="n"/>
      <c r="H155" s="5" t="n"/>
      <c r="I155" s="5" t="n"/>
      <c r="J155" s="5" t="n"/>
    </row>
    <row r="156">
      <c r="A156" s="17" t="n"/>
      <c r="B156" s="5" t="n"/>
      <c r="C156" s="5" t="n"/>
      <c r="D156" s="5" t="n"/>
      <c r="E156" s="5" t="n"/>
      <c r="F156" s="16" t="n"/>
      <c r="G156" s="5" t="n"/>
      <c r="H156" s="5" t="n"/>
      <c r="I156" s="5" t="n"/>
      <c r="J156" s="5" t="n"/>
    </row>
    <row r="157">
      <c r="A157" s="17" t="n"/>
      <c r="B157" s="5" t="n"/>
      <c r="C157" s="5" t="n"/>
      <c r="D157" s="5" t="n"/>
      <c r="E157" s="5" t="n"/>
      <c r="F157" s="16" t="n"/>
      <c r="G157" s="5" t="n"/>
      <c r="H157" s="5" t="n"/>
      <c r="I157" s="5" t="n"/>
      <c r="J157" s="5" t="n"/>
    </row>
    <row r="158">
      <c r="A158" s="17" t="n"/>
      <c r="B158" s="5" t="n"/>
      <c r="C158" s="5" t="n"/>
      <c r="D158" s="5" t="n"/>
      <c r="E158" s="5" t="n"/>
      <c r="F158" s="16" t="n"/>
      <c r="G158" s="5" t="n"/>
      <c r="H158" s="5" t="n"/>
      <c r="I158" s="5" t="n"/>
      <c r="J158" s="5" t="n"/>
    </row>
    <row r="159">
      <c r="A159" s="17" t="n"/>
      <c r="B159" s="5" t="n"/>
      <c r="C159" s="5" t="n"/>
      <c r="D159" s="5" t="n"/>
      <c r="E159" s="5" t="n"/>
      <c r="F159" s="16" t="n"/>
      <c r="G159" s="5" t="n"/>
      <c r="H159" s="5" t="n"/>
      <c r="I159" s="5" t="n"/>
      <c r="J159" s="5" t="n"/>
    </row>
    <row r="160">
      <c r="A160" s="17" t="n"/>
      <c r="B160" s="5" t="n"/>
      <c r="C160" s="5" t="n"/>
      <c r="D160" s="5" t="n"/>
      <c r="E160" s="5" t="n"/>
      <c r="F160" s="16" t="n"/>
      <c r="G160" s="5" t="n"/>
      <c r="H160" s="5" t="n"/>
      <c r="I160" s="5" t="n"/>
      <c r="J160" s="5" t="n"/>
    </row>
    <row r="161">
      <c r="A161" s="17" t="n"/>
      <c r="B161" s="5" t="n"/>
      <c r="C161" s="5" t="n"/>
      <c r="D161" s="5" t="n"/>
      <c r="E161" s="5" t="n"/>
      <c r="F161" s="16" t="n"/>
      <c r="G161" s="5" t="n"/>
      <c r="H161" s="5" t="n"/>
      <c r="I161" s="5" t="n"/>
      <c r="J161" s="5" t="n"/>
    </row>
    <row r="162">
      <c r="A162" s="17" t="n"/>
      <c r="B162" s="5" t="n"/>
      <c r="C162" s="5" t="n"/>
      <c r="D162" s="5" t="n"/>
      <c r="E162" s="5" t="n"/>
      <c r="F162" s="16" t="n"/>
      <c r="G162" s="5" t="n"/>
      <c r="H162" s="5" t="n"/>
      <c r="I162" s="5" t="n"/>
      <c r="J162" s="5" t="n"/>
    </row>
    <row r="163">
      <c r="A163" s="17" t="n"/>
      <c r="B163" s="5" t="n"/>
      <c r="C163" s="5" t="n"/>
      <c r="D163" s="5" t="n"/>
      <c r="E163" s="5" t="n"/>
      <c r="F163" s="16" t="n"/>
      <c r="G163" s="5" t="n"/>
      <c r="H163" s="5" t="n"/>
      <c r="I163" s="5" t="n"/>
      <c r="J163" s="5" t="n"/>
    </row>
    <row r="164">
      <c r="A164" s="17" t="n"/>
      <c r="B164" s="5" t="n"/>
      <c r="C164" s="5" t="n"/>
      <c r="D164" s="5" t="n"/>
      <c r="E164" s="5" t="n"/>
      <c r="F164" s="16" t="n"/>
      <c r="G164" s="5" t="n"/>
      <c r="H164" s="5" t="n"/>
      <c r="I164" s="5" t="n"/>
      <c r="J164" s="5" t="n"/>
    </row>
    <row r="165">
      <c r="A165" s="17" t="n"/>
      <c r="B165" s="5" t="n"/>
      <c r="C165" s="5" t="n"/>
      <c r="D165" s="5" t="n"/>
      <c r="E165" s="5" t="n"/>
      <c r="F165" s="16" t="n"/>
      <c r="G165" s="5" t="n"/>
      <c r="H165" s="5" t="n"/>
      <c r="I165" s="5" t="n"/>
      <c r="J165" s="5" t="n"/>
    </row>
    <row r="166">
      <c r="A166" s="17" t="n"/>
      <c r="B166" s="5" t="n"/>
      <c r="C166" s="5" t="n"/>
      <c r="D166" s="5" t="n"/>
      <c r="E166" s="5" t="n"/>
      <c r="F166" s="16" t="n"/>
      <c r="G166" s="5" t="n"/>
      <c r="H166" s="5" t="n"/>
      <c r="I166" s="5" t="n"/>
      <c r="J166" s="5" t="n"/>
    </row>
    <row r="167">
      <c r="A167" s="17" t="n"/>
      <c r="B167" s="5" t="n"/>
      <c r="C167" s="5" t="n"/>
      <c r="D167" s="5" t="n"/>
      <c r="E167" s="5" t="n"/>
      <c r="F167" s="16" t="n"/>
      <c r="G167" s="5" t="n"/>
      <c r="H167" s="5" t="n"/>
      <c r="I167" s="5" t="n"/>
      <c r="J167" s="5" t="n"/>
    </row>
    <row r="168">
      <c r="A168" s="17" t="n"/>
      <c r="B168" s="5" t="n"/>
      <c r="C168" s="5" t="n"/>
      <c r="D168" s="5" t="n"/>
      <c r="E168" s="5" t="n"/>
      <c r="F168" s="16" t="n"/>
      <c r="G168" s="5" t="n"/>
      <c r="H168" s="5" t="n"/>
      <c r="I168" s="5" t="n"/>
      <c r="J168" s="5" t="n"/>
    </row>
    <row r="169">
      <c r="A169" s="17" t="n"/>
      <c r="B169" s="5" t="n"/>
      <c r="C169" s="5" t="n"/>
      <c r="D169" s="5" t="n"/>
      <c r="E169" s="5" t="n"/>
      <c r="F169" s="16" t="n"/>
      <c r="G169" s="5" t="n"/>
      <c r="H169" s="5" t="n"/>
      <c r="I169" s="5" t="n"/>
      <c r="J169" s="5" t="n"/>
    </row>
    <row r="170">
      <c r="A170" s="17" t="n"/>
      <c r="B170" s="5" t="n"/>
      <c r="C170" s="5" t="n"/>
      <c r="D170" s="5" t="n"/>
      <c r="E170" s="5" t="n"/>
      <c r="F170" s="16" t="n"/>
      <c r="G170" s="5" t="n"/>
      <c r="H170" s="5" t="n"/>
      <c r="I170" s="5" t="n"/>
      <c r="J170" s="5" t="n"/>
    </row>
    <row r="171">
      <c r="A171" s="17" t="n"/>
      <c r="B171" s="5" t="n"/>
      <c r="C171" s="5" t="n"/>
      <c r="D171" s="5" t="n"/>
      <c r="E171" s="5" t="n"/>
      <c r="F171" s="16" t="n"/>
      <c r="G171" s="5" t="n"/>
      <c r="H171" s="5" t="n"/>
      <c r="I171" s="5" t="n"/>
      <c r="J171" s="5" t="n"/>
    </row>
    <row r="172">
      <c r="A172" s="17" t="n"/>
      <c r="B172" s="5" t="n"/>
      <c r="C172" s="5" t="n"/>
      <c r="D172" s="5" t="n"/>
      <c r="E172" s="5" t="n"/>
      <c r="F172" s="16" t="n"/>
      <c r="G172" s="5" t="n"/>
      <c r="H172" s="5" t="n"/>
      <c r="I172" s="5" t="n"/>
      <c r="J172" s="5" t="n"/>
    </row>
    <row r="173">
      <c r="A173" s="17" t="n"/>
      <c r="B173" s="5" t="n"/>
      <c r="C173" s="5" t="n"/>
      <c r="D173" s="5" t="n"/>
      <c r="E173" s="5" t="n"/>
      <c r="F173" s="16" t="n"/>
      <c r="G173" s="5" t="n"/>
      <c r="H173" s="5" t="n"/>
      <c r="I173" s="5" t="n"/>
      <c r="J173" s="5" t="n"/>
    </row>
    <row r="174">
      <c r="A174" s="17" t="n"/>
      <c r="B174" s="5" t="n"/>
      <c r="C174" s="5" t="n"/>
      <c r="D174" s="5" t="n"/>
      <c r="E174" s="5" t="n"/>
      <c r="F174" s="16" t="n"/>
      <c r="G174" s="5" t="n"/>
      <c r="H174" s="5" t="n"/>
      <c r="I174" s="5" t="n"/>
      <c r="J174" s="5" t="n"/>
    </row>
    <row r="175">
      <c r="A175" s="17" t="n"/>
      <c r="B175" s="5" t="n"/>
      <c r="C175" s="5" t="n"/>
      <c r="D175" s="5" t="n"/>
      <c r="E175" s="5" t="n"/>
      <c r="F175" s="16" t="n"/>
      <c r="G175" s="5" t="n"/>
      <c r="H175" s="5" t="n"/>
      <c r="I175" s="5" t="n"/>
      <c r="J175" s="5" t="n"/>
    </row>
    <row r="176">
      <c r="A176" s="17" t="n"/>
      <c r="B176" s="5" t="n"/>
      <c r="C176" s="5" t="n"/>
      <c r="D176" s="5" t="n"/>
      <c r="E176" s="5" t="n"/>
      <c r="F176" s="16" t="n"/>
      <c r="G176" s="5" t="n"/>
      <c r="H176" s="5" t="n"/>
      <c r="I176" s="5" t="n"/>
      <c r="J176" s="5" t="n"/>
    </row>
    <row r="177">
      <c r="A177" s="17" t="n"/>
      <c r="B177" s="5" t="n"/>
      <c r="C177" s="5" t="n"/>
      <c r="D177" s="5" t="n"/>
      <c r="E177" s="5" t="n"/>
      <c r="F177" s="16" t="n"/>
      <c r="G177" s="5" t="n"/>
      <c r="H177" s="5" t="n"/>
      <c r="I177" s="5" t="n"/>
      <c r="J177" s="5" t="n"/>
    </row>
    <row r="178">
      <c r="A178" s="17" t="n"/>
      <c r="B178" s="5" t="n"/>
      <c r="C178" s="5" t="n"/>
      <c r="D178" s="5" t="n"/>
      <c r="E178" s="5" t="n"/>
      <c r="F178" s="16" t="n"/>
      <c r="G178" s="5" t="n"/>
      <c r="H178" s="5" t="n"/>
      <c r="I178" s="5" t="n"/>
      <c r="J178" s="5" t="n"/>
    </row>
    <row r="179">
      <c r="A179" s="17" t="n"/>
      <c r="B179" s="5" t="n"/>
      <c r="C179" s="5" t="n"/>
      <c r="D179" s="5" t="n"/>
      <c r="E179" s="5" t="n"/>
      <c r="F179" s="16" t="n"/>
      <c r="G179" s="5" t="n"/>
      <c r="H179" s="5" t="n"/>
      <c r="I179" s="5" t="n"/>
      <c r="J179" s="5" t="n"/>
    </row>
    <row r="180">
      <c r="A180" s="17" t="n"/>
      <c r="B180" s="5" t="n"/>
      <c r="C180" s="5" t="n"/>
      <c r="D180" s="5" t="n"/>
      <c r="E180" s="5" t="n"/>
      <c r="F180" s="16" t="n"/>
      <c r="G180" s="5" t="n"/>
      <c r="H180" s="5" t="n"/>
      <c r="I180" s="5" t="n"/>
      <c r="J180" s="5" t="n"/>
    </row>
    <row r="181">
      <c r="A181" s="17" t="n"/>
      <c r="B181" s="5" t="n"/>
      <c r="C181" s="5" t="n"/>
      <c r="D181" s="5" t="n"/>
      <c r="E181" s="5" t="n"/>
      <c r="F181" s="16" t="n"/>
      <c r="G181" s="5" t="n"/>
      <c r="H181" s="5" t="n"/>
      <c r="I181" s="5" t="n"/>
      <c r="J181" s="5" t="n"/>
    </row>
    <row r="182">
      <c r="A182" s="17" t="n"/>
      <c r="B182" s="5" t="n"/>
      <c r="C182" s="5" t="n"/>
      <c r="D182" s="5" t="n"/>
      <c r="E182" s="5" t="n"/>
      <c r="F182" s="16" t="n"/>
      <c r="G182" s="5" t="n"/>
      <c r="H182" s="5" t="n"/>
      <c r="I182" s="5" t="n"/>
      <c r="J182" s="5" t="n"/>
    </row>
    <row r="183">
      <c r="A183" s="17" t="n"/>
      <c r="B183" s="5" t="n"/>
      <c r="C183" s="5" t="n"/>
      <c r="D183" s="5" t="n"/>
      <c r="E183" s="5" t="n"/>
      <c r="F183" s="16" t="n"/>
      <c r="G183" s="5" t="n"/>
      <c r="H183" s="5" t="n"/>
      <c r="I183" s="5" t="n"/>
      <c r="J183" s="5" t="n"/>
    </row>
    <row r="184">
      <c r="A184" s="17" t="n"/>
      <c r="B184" s="5" t="n"/>
      <c r="C184" s="5" t="n"/>
      <c r="D184" s="5" t="n"/>
      <c r="E184" s="5" t="n"/>
      <c r="F184" s="16" t="n"/>
      <c r="G184" s="5" t="n"/>
      <c r="H184" s="5" t="n"/>
      <c r="I184" s="5" t="n"/>
      <c r="J184" s="5" t="n"/>
    </row>
    <row r="185">
      <c r="A185" s="17" t="n"/>
      <c r="B185" s="5" t="n"/>
      <c r="C185" s="5" t="n"/>
      <c r="D185" s="5" t="n"/>
      <c r="E185" s="5" t="n"/>
      <c r="F185" s="16" t="n"/>
      <c r="G185" s="5" t="n"/>
      <c r="H185" s="5" t="n"/>
      <c r="I185" s="5" t="n"/>
      <c r="J185" s="5" t="n"/>
    </row>
    <row r="186">
      <c r="A186" s="17" t="n"/>
      <c r="B186" s="5" t="n"/>
      <c r="C186" s="5" t="n"/>
      <c r="D186" s="5" t="n"/>
      <c r="E186" s="5" t="n"/>
      <c r="F186" s="16" t="n"/>
      <c r="G186" s="5" t="n"/>
      <c r="H186" s="5" t="n"/>
      <c r="I186" s="5" t="n"/>
      <c r="J186" s="5" t="n"/>
    </row>
    <row r="187">
      <c r="A187" s="17" t="n"/>
      <c r="B187" s="5" t="n"/>
      <c r="C187" s="5" t="n"/>
      <c r="D187" s="5" t="n"/>
      <c r="E187" s="5" t="n"/>
      <c r="F187" s="16" t="n"/>
      <c r="G187" s="5" t="n"/>
      <c r="H187" s="5" t="n"/>
      <c r="I187" s="5" t="n"/>
      <c r="J187" s="5" t="n"/>
    </row>
    <row r="188">
      <c r="A188" s="17" t="n"/>
      <c r="B188" s="5" t="n"/>
      <c r="C188" s="5" t="n"/>
      <c r="D188" s="5" t="n"/>
      <c r="E188" s="5" t="n"/>
      <c r="F188" s="16" t="n"/>
      <c r="G188" s="5" t="n"/>
      <c r="H188" s="5" t="n"/>
      <c r="I188" s="5" t="n"/>
      <c r="J188" s="5" t="n"/>
    </row>
    <row r="189">
      <c r="A189" s="17" t="n"/>
      <c r="B189" s="5" t="n"/>
      <c r="C189" s="5" t="n"/>
      <c r="D189" s="5" t="n"/>
      <c r="E189" s="5" t="n"/>
      <c r="F189" s="16" t="n"/>
      <c r="G189" s="5" t="n"/>
      <c r="H189" s="5" t="n"/>
      <c r="I189" s="5" t="n"/>
      <c r="J189" s="5" t="n"/>
    </row>
    <row r="190">
      <c r="A190" s="17" t="n"/>
      <c r="B190" s="5" t="n"/>
      <c r="C190" s="5" t="n"/>
      <c r="D190" s="5" t="n"/>
      <c r="E190" s="5" t="n"/>
      <c r="F190" s="16" t="n"/>
      <c r="G190" s="5" t="n"/>
      <c r="H190" s="5" t="n"/>
      <c r="I190" s="5" t="n"/>
      <c r="J190" s="5" t="n"/>
    </row>
    <row r="191">
      <c r="A191" s="17" t="n"/>
      <c r="B191" s="5" t="n"/>
      <c r="C191" s="5" t="n"/>
      <c r="D191" s="5" t="n"/>
      <c r="E191" s="5" t="n"/>
      <c r="F191" s="16" t="n"/>
      <c r="G191" s="5" t="n"/>
      <c r="H191" s="5" t="n"/>
      <c r="I191" s="5" t="n"/>
      <c r="J191" s="5" t="n"/>
    </row>
    <row r="192">
      <c r="A192" s="17" t="n"/>
      <c r="B192" s="5" t="n"/>
      <c r="C192" s="5" t="n"/>
      <c r="D192" s="5" t="n"/>
      <c r="E192" s="5" t="n"/>
      <c r="F192" s="16" t="n"/>
      <c r="G192" s="5" t="n"/>
      <c r="H192" s="5" t="n"/>
      <c r="I192" s="5" t="n"/>
      <c r="J192" s="5" t="n"/>
    </row>
    <row r="193">
      <c r="A193" s="17" t="n"/>
      <c r="B193" s="5" t="n"/>
      <c r="C193" s="5" t="n"/>
      <c r="D193" s="5" t="n"/>
      <c r="E193" s="5" t="n"/>
      <c r="F193" s="16" t="n"/>
      <c r="G193" s="5" t="n"/>
      <c r="H193" s="5" t="n"/>
      <c r="I193" s="5" t="n"/>
      <c r="J193" s="5" t="n"/>
    </row>
    <row r="194">
      <c r="A194" s="17" t="n"/>
      <c r="B194" s="5" t="n"/>
      <c r="C194" s="5" t="n"/>
      <c r="D194" s="5" t="n"/>
      <c r="E194" s="5" t="n"/>
      <c r="F194" s="16" t="n"/>
      <c r="G194" s="5" t="n"/>
      <c r="H194" s="5" t="n"/>
      <c r="I194" s="5" t="n"/>
      <c r="J194" s="5" t="n"/>
    </row>
    <row r="195">
      <c r="A195" s="17" t="n"/>
      <c r="B195" s="5" t="n"/>
      <c r="C195" s="5" t="n"/>
      <c r="D195" s="5" t="n"/>
      <c r="E195" s="5" t="n"/>
      <c r="F195" s="16" t="n"/>
      <c r="G195" s="5" t="n"/>
      <c r="H195" s="5" t="n"/>
      <c r="I195" s="5" t="n"/>
      <c r="J195" s="5" t="n"/>
    </row>
    <row r="196">
      <c r="A196" s="17" t="n"/>
      <c r="B196" s="5" t="n"/>
      <c r="C196" s="5" t="n"/>
      <c r="D196" s="5" t="n"/>
      <c r="E196" s="5" t="n"/>
      <c r="F196" s="16" t="n"/>
      <c r="G196" s="5" t="n"/>
      <c r="H196" s="5" t="n"/>
      <c r="I196" s="5" t="n"/>
      <c r="J196" s="5" t="n"/>
    </row>
    <row r="197">
      <c r="A197" s="17" t="n"/>
      <c r="B197" s="5" t="n"/>
      <c r="C197" s="5" t="n"/>
      <c r="D197" s="5" t="n"/>
      <c r="E197" s="5" t="n"/>
      <c r="F197" s="16" t="n"/>
      <c r="G197" s="5" t="n"/>
      <c r="H197" s="5" t="n"/>
      <c r="I197" s="5" t="n"/>
      <c r="J197" s="5" t="n"/>
    </row>
    <row r="198">
      <c r="A198" s="17" t="n"/>
      <c r="B198" s="5" t="n"/>
      <c r="C198" s="5" t="n"/>
      <c r="D198" s="5" t="n"/>
      <c r="E198" s="5" t="n"/>
      <c r="F198" s="16" t="n"/>
      <c r="G198" s="5" t="n"/>
      <c r="H198" s="5" t="n"/>
      <c r="I198" s="5" t="n"/>
      <c r="J198" s="5" t="n"/>
    </row>
    <row r="199">
      <c r="A199" s="17" t="n"/>
      <c r="B199" s="5" t="n"/>
      <c r="C199" s="5" t="n"/>
      <c r="D199" s="5" t="n"/>
      <c r="E199" s="5" t="n"/>
      <c r="F199" s="16" t="n"/>
      <c r="G199" s="5" t="n"/>
      <c r="H199" s="5" t="n"/>
      <c r="I199" s="5" t="n"/>
      <c r="J199" s="5" t="n"/>
    </row>
    <row r="200">
      <c r="A200" s="17" t="n"/>
      <c r="B200" s="5" t="n"/>
      <c r="C200" s="5" t="n"/>
      <c r="D200" s="5" t="n"/>
      <c r="E200" s="5" t="n"/>
      <c r="F200" s="16" t="n"/>
      <c r="G200" s="5" t="n"/>
      <c r="H200" s="5" t="n"/>
      <c r="I200" s="5" t="n"/>
      <c r="J200" s="5" t="n"/>
    </row>
    <row r="201">
      <c r="A201" s="17" t="n"/>
      <c r="B201" s="5" t="n"/>
      <c r="C201" s="5" t="n"/>
      <c r="D201" s="5" t="n"/>
      <c r="E201" s="5" t="n"/>
      <c r="F201" s="16" t="n"/>
      <c r="G201" s="5" t="n"/>
      <c r="H201" s="5" t="n"/>
      <c r="I201" s="5" t="n"/>
      <c r="J201" s="5" t="n"/>
    </row>
    <row r="202">
      <c r="A202" s="17" t="n"/>
      <c r="B202" s="5" t="n"/>
      <c r="C202" s="5" t="n"/>
      <c r="D202" s="5" t="n"/>
      <c r="E202" s="5" t="n"/>
      <c r="F202" s="16" t="n"/>
      <c r="G202" s="5" t="n"/>
      <c r="H202" s="5" t="n"/>
      <c r="I202" s="5" t="n"/>
      <c r="J202" s="5" t="n"/>
    </row>
    <row r="203">
      <c r="A203" s="17" t="n"/>
      <c r="B203" s="5" t="n"/>
      <c r="C203" s="5" t="n"/>
      <c r="D203" s="5" t="n"/>
      <c r="E203" s="5" t="n"/>
      <c r="F203" s="16" t="n"/>
      <c r="G203" s="5" t="n"/>
      <c r="H203" s="5" t="n"/>
      <c r="I203" s="5" t="n"/>
      <c r="J203" s="5" t="n"/>
    </row>
    <row r="204">
      <c r="A204" s="17" t="n"/>
      <c r="B204" s="5" t="n"/>
      <c r="C204" s="5" t="n"/>
      <c r="D204" s="5" t="n"/>
      <c r="E204" s="5" t="n"/>
      <c r="F204" s="16" t="n"/>
      <c r="G204" s="5" t="n"/>
      <c r="H204" s="5" t="n"/>
      <c r="I204" s="5" t="n"/>
      <c r="J204" s="5" t="n"/>
    </row>
    <row r="205">
      <c r="A205" s="17" t="n"/>
      <c r="B205" s="5" t="n"/>
      <c r="C205" s="5" t="n"/>
      <c r="D205" s="5" t="n"/>
      <c r="E205" s="5" t="n"/>
      <c r="F205" s="16" t="n"/>
      <c r="G205" s="5" t="n"/>
      <c r="H205" s="5" t="n"/>
      <c r="I205" s="5" t="n"/>
      <c r="J205" s="5" t="n"/>
    </row>
    <row r="206">
      <c r="A206" s="17" t="n"/>
      <c r="B206" s="5" t="n"/>
      <c r="C206" s="5" t="n"/>
      <c r="D206" s="5" t="n"/>
      <c r="E206" s="5" t="n"/>
      <c r="F206" s="16" t="n"/>
      <c r="G206" s="5" t="n"/>
      <c r="H206" s="5" t="n"/>
      <c r="I206" s="5" t="n"/>
      <c r="J206" s="5" t="n"/>
    </row>
    <row r="207">
      <c r="A207" s="17" t="n"/>
      <c r="B207" s="5" t="n"/>
      <c r="C207" s="5" t="n"/>
      <c r="D207" s="5" t="n"/>
      <c r="E207" s="5" t="n"/>
      <c r="F207" s="16" t="n"/>
      <c r="G207" s="5" t="n"/>
      <c r="H207" s="5" t="n"/>
      <c r="I207" s="5" t="n"/>
      <c r="J207" s="5" t="n"/>
    </row>
    <row r="208">
      <c r="A208" s="17" t="n"/>
      <c r="B208" s="5" t="n"/>
      <c r="C208" s="5" t="n"/>
      <c r="D208" s="5" t="n"/>
      <c r="E208" s="5" t="n"/>
      <c r="F208" s="16" t="n"/>
      <c r="G208" s="5" t="n"/>
      <c r="H208" s="5" t="n"/>
      <c r="I208" s="5" t="n"/>
      <c r="J208" s="5" t="n"/>
    </row>
    <row r="209">
      <c r="A209" s="17" t="n"/>
      <c r="B209" s="5" t="n"/>
      <c r="C209" s="5" t="n"/>
      <c r="D209" s="5" t="n"/>
      <c r="E209" s="5" t="n"/>
      <c r="F209" s="16" t="n"/>
      <c r="G209" s="5" t="n"/>
      <c r="H209" s="5" t="n"/>
      <c r="I209" s="5" t="n"/>
      <c r="J209" s="5" t="n"/>
    </row>
    <row r="210">
      <c r="A210" s="17" t="n"/>
      <c r="B210" s="5" t="n"/>
      <c r="C210" s="5" t="n"/>
      <c r="D210" s="5" t="n"/>
      <c r="E210" s="5" t="n"/>
      <c r="F210" s="16" t="n"/>
      <c r="G210" s="5" t="n"/>
      <c r="H210" s="5" t="n"/>
      <c r="I210" s="5" t="n"/>
      <c r="J210" s="5" t="n"/>
    </row>
    <row r="211">
      <c r="A211" s="17" t="n"/>
      <c r="B211" s="5" t="n"/>
      <c r="C211" s="5" t="n"/>
      <c r="D211" s="5" t="n"/>
      <c r="E211" s="5" t="n"/>
      <c r="F211" s="16" t="n"/>
      <c r="G211" s="5" t="n"/>
      <c r="H211" s="5" t="n"/>
      <c r="I211" s="5" t="n"/>
      <c r="J211" s="5" t="n"/>
    </row>
    <row r="212">
      <c r="A212" s="17" t="n"/>
      <c r="B212" s="5" t="n"/>
      <c r="C212" s="5" t="n"/>
      <c r="D212" s="5" t="n"/>
      <c r="E212" s="5" t="n"/>
      <c r="F212" s="16" t="n"/>
      <c r="G212" s="5" t="n"/>
      <c r="H212" s="5" t="n"/>
      <c r="I212" s="5" t="n"/>
      <c r="J212" s="5" t="n"/>
    </row>
    <row r="213">
      <c r="A213" s="17" t="n"/>
      <c r="B213" s="5" t="n"/>
      <c r="C213" s="5" t="n"/>
      <c r="D213" s="5" t="n"/>
      <c r="E213" s="5" t="n"/>
      <c r="F213" s="16" t="n"/>
      <c r="G213" s="5" t="n"/>
      <c r="H213" s="5" t="n"/>
      <c r="I213" s="5" t="n"/>
      <c r="J213" s="5" t="n"/>
    </row>
    <row r="214">
      <c r="A214" s="17" t="n"/>
      <c r="B214" s="5" t="n"/>
      <c r="C214" s="5" t="n"/>
      <c r="D214" s="5" t="n"/>
      <c r="E214" s="5" t="n"/>
      <c r="F214" s="16" t="n"/>
      <c r="G214" s="5" t="n"/>
      <c r="H214" s="5" t="n"/>
      <c r="I214" s="5" t="n"/>
      <c r="J214" s="5" t="n"/>
    </row>
    <row r="215">
      <c r="A215" s="17" t="n"/>
      <c r="B215" s="5" t="n"/>
      <c r="C215" s="5" t="n"/>
      <c r="D215" s="5" t="n"/>
      <c r="E215" s="5" t="n"/>
      <c r="F215" s="16" t="n"/>
      <c r="G215" s="5" t="n"/>
      <c r="H215" s="5" t="n"/>
      <c r="I215" s="5" t="n"/>
      <c r="J215" s="5" t="n"/>
    </row>
    <row r="216">
      <c r="A216" s="17" t="n"/>
      <c r="B216" s="5" t="n"/>
      <c r="C216" s="5" t="n"/>
      <c r="D216" s="5" t="n"/>
      <c r="E216" s="5" t="n"/>
      <c r="F216" s="16" t="n"/>
      <c r="G216" s="5" t="n"/>
      <c r="H216" s="5" t="n"/>
      <c r="I216" s="5" t="n"/>
      <c r="J216" s="5" t="n"/>
    </row>
    <row r="217">
      <c r="A217" s="17" t="n"/>
      <c r="B217" s="5" t="n"/>
      <c r="C217" s="5" t="n"/>
      <c r="D217" s="5" t="n"/>
      <c r="E217" s="5" t="n"/>
      <c r="F217" s="16" t="n"/>
      <c r="G217" s="5" t="n"/>
      <c r="H217" s="5" t="n"/>
      <c r="I217" s="5" t="n"/>
      <c r="J217" s="5" t="n"/>
    </row>
    <row r="218">
      <c r="A218" s="17" t="n"/>
      <c r="B218" s="5" t="n"/>
      <c r="C218" s="5" t="n"/>
      <c r="D218" s="5" t="n"/>
      <c r="E218" s="5" t="n"/>
      <c r="F218" s="16" t="n"/>
      <c r="G218" s="5" t="n"/>
      <c r="H218" s="5" t="n"/>
      <c r="I218" s="5" t="n"/>
      <c r="J218" s="5" t="n"/>
    </row>
    <row r="219">
      <c r="A219" s="17" t="n"/>
      <c r="B219" s="5" t="n"/>
      <c r="C219" s="5" t="n"/>
      <c r="D219" s="5" t="n"/>
      <c r="E219" s="5" t="n"/>
      <c r="F219" s="16" t="n"/>
      <c r="G219" s="5" t="n"/>
      <c r="H219" s="5" t="n"/>
      <c r="I219" s="5" t="n"/>
      <c r="J219" s="5" t="n"/>
    </row>
    <row r="220">
      <c r="A220" s="17" t="n"/>
      <c r="B220" s="5" t="n"/>
      <c r="C220" s="5" t="n"/>
      <c r="D220" s="5" t="n"/>
      <c r="E220" s="5" t="n"/>
      <c r="F220" s="16" t="n"/>
      <c r="G220" s="5" t="n"/>
      <c r="H220" s="5" t="n"/>
      <c r="I220" s="5" t="n"/>
      <c r="J220" s="5" t="n"/>
    </row>
    <row r="221">
      <c r="A221" s="17" t="n"/>
      <c r="B221" s="5" t="n"/>
      <c r="C221" s="5" t="n"/>
      <c r="D221" s="5" t="n"/>
      <c r="E221" s="5" t="n"/>
      <c r="F221" s="16" t="n"/>
      <c r="G221" s="5" t="n"/>
      <c r="H221" s="5" t="n"/>
      <c r="I221" s="5" t="n"/>
      <c r="J221" s="5" t="n"/>
    </row>
    <row r="222">
      <c r="A222" s="17" t="n"/>
      <c r="B222" s="5" t="n"/>
      <c r="C222" s="5" t="n"/>
      <c r="D222" s="5" t="n"/>
      <c r="E222" s="5" t="n"/>
      <c r="F222" s="16" t="n"/>
      <c r="G222" s="5" t="n"/>
      <c r="H222" s="5" t="n"/>
      <c r="I222" s="5" t="n"/>
      <c r="J222" s="5" t="n"/>
    </row>
    <row r="223">
      <c r="A223" s="17" t="n"/>
      <c r="B223" s="5" t="n"/>
      <c r="C223" s="5" t="n"/>
      <c r="D223" s="5" t="n"/>
      <c r="E223" s="5" t="n"/>
      <c r="F223" s="16" t="n"/>
      <c r="G223" s="5" t="n"/>
      <c r="H223" s="5" t="n"/>
      <c r="I223" s="5" t="n"/>
      <c r="J223" s="5" t="n"/>
    </row>
    <row r="224">
      <c r="A224" s="17" t="n"/>
      <c r="B224" s="5" t="n"/>
      <c r="C224" s="5" t="n"/>
      <c r="D224" s="5" t="n"/>
      <c r="E224" s="5" t="n"/>
      <c r="F224" s="16" t="n"/>
      <c r="G224" s="5" t="n"/>
      <c r="H224" s="5" t="n"/>
      <c r="I224" s="5" t="n"/>
      <c r="J224" s="5" t="n"/>
    </row>
    <row r="225">
      <c r="A225" s="17" t="n"/>
      <c r="B225" s="5" t="n"/>
      <c r="C225" s="5" t="n"/>
      <c r="D225" s="5" t="n"/>
      <c r="E225" s="5" t="n"/>
      <c r="F225" s="16" t="n"/>
      <c r="G225" s="5" t="n"/>
      <c r="H225" s="5" t="n"/>
      <c r="I225" s="5" t="n"/>
      <c r="J225" s="5" t="n"/>
    </row>
    <row r="226">
      <c r="A226" s="17" t="n"/>
      <c r="B226" s="5" t="n"/>
      <c r="C226" s="5" t="n"/>
      <c r="D226" s="5" t="n"/>
      <c r="E226" s="5" t="n"/>
      <c r="F226" s="16" t="n"/>
      <c r="G226" s="5" t="n"/>
      <c r="H226" s="5" t="n"/>
      <c r="I226" s="5" t="n"/>
      <c r="J226" s="5" t="n"/>
    </row>
    <row r="227">
      <c r="A227" s="17" t="n"/>
      <c r="B227" s="5" t="n"/>
      <c r="C227" s="5" t="n"/>
      <c r="D227" s="5" t="n"/>
      <c r="E227" s="5" t="n"/>
      <c r="F227" s="16" t="n"/>
      <c r="G227" s="5" t="n"/>
      <c r="H227" s="5" t="n"/>
      <c r="I227" s="5" t="n"/>
      <c r="J227" s="5" t="n"/>
    </row>
    <row r="228">
      <c r="A228" s="17" t="n"/>
      <c r="B228" s="5" t="n"/>
      <c r="C228" s="5" t="n"/>
      <c r="D228" s="5" t="n"/>
      <c r="E228" s="5" t="n"/>
      <c r="F228" s="16" t="n"/>
      <c r="G228" s="5" t="n"/>
      <c r="H228" s="5" t="n"/>
      <c r="I228" s="5" t="n"/>
      <c r="J228" s="5" t="n"/>
    </row>
    <row r="229">
      <c r="A229" s="17" t="n"/>
      <c r="B229" s="5" t="n"/>
      <c r="C229" s="5" t="n"/>
      <c r="D229" s="5" t="n"/>
      <c r="E229" s="5" t="n"/>
      <c r="F229" s="16" t="n"/>
      <c r="G229" s="5" t="n"/>
      <c r="H229" s="5" t="n"/>
      <c r="I229" s="5" t="n"/>
      <c r="J229" s="5" t="n"/>
    </row>
    <row r="230">
      <c r="A230" s="17" t="n"/>
      <c r="B230" s="5" t="n"/>
      <c r="C230" s="5" t="n"/>
      <c r="D230" s="5" t="n"/>
      <c r="E230" s="5" t="n"/>
      <c r="F230" s="16" t="n"/>
      <c r="G230" s="5" t="n"/>
      <c r="H230" s="5" t="n"/>
      <c r="I230" s="5" t="n"/>
      <c r="J230" s="5" t="n"/>
    </row>
    <row r="231">
      <c r="A231" s="17" t="n"/>
      <c r="B231" s="5" t="n"/>
      <c r="C231" s="5" t="n"/>
      <c r="D231" s="5" t="n"/>
      <c r="E231" s="5" t="n"/>
      <c r="F231" s="16" t="n"/>
      <c r="G231" s="5" t="n"/>
      <c r="H231" s="5" t="n"/>
      <c r="I231" s="5" t="n"/>
      <c r="J231" s="5" t="n"/>
    </row>
    <row r="232">
      <c r="A232" s="17" t="n"/>
      <c r="B232" s="5" t="n"/>
      <c r="C232" s="5" t="n"/>
      <c r="D232" s="5" t="n"/>
      <c r="E232" s="5" t="n"/>
      <c r="F232" s="16" t="n"/>
      <c r="G232" s="5" t="n"/>
      <c r="H232" s="5" t="n"/>
      <c r="I232" s="5" t="n"/>
      <c r="J232" s="5" t="n"/>
    </row>
    <row r="233">
      <c r="A233" s="17" t="n"/>
      <c r="B233" s="5" t="n"/>
      <c r="C233" s="5" t="n"/>
      <c r="D233" s="5" t="n"/>
      <c r="E233" s="5" t="n"/>
      <c r="F233" s="16" t="n"/>
      <c r="G233" s="5" t="n"/>
      <c r="H233" s="5" t="n"/>
      <c r="I233" s="5" t="n"/>
      <c r="J233" s="5" t="n"/>
    </row>
    <row r="234">
      <c r="A234" s="17" t="n"/>
      <c r="B234" s="5" t="n"/>
      <c r="C234" s="5" t="n"/>
      <c r="D234" s="5" t="n"/>
      <c r="E234" s="5" t="n"/>
      <c r="F234" s="16" t="n"/>
      <c r="G234" s="5" t="n"/>
      <c r="H234" s="5" t="n"/>
      <c r="I234" s="5" t="n"/>
      <c r="J234" s="5" t="n"/>
    </row>
    <row r="235">
      <c r="A235" s="17" t="n"/>
      <c r="B235" s="5" t="n"/>
      <c r="C235" s="5" t="n"/>
      <c r="D235" s="5" t="n"/>
      <c r="E235" s="5" t="n"/>
      <c r="F235" s="16" t="n"/>
      <c r="G235" s="5" t="n"/>
      <c r="H235" s="5" t="n"/>
      <c r="I235" s="5" t="n"/>
      <c r="J235" s="5" t="n"/>
    </row>
    <row r="236">
      <c r="A236" s="17" t="n"/>
      <c r="B236" s="5" t="n"/>
      <c r="C236" s="5" t="n"/>
      <c r="D236" s="5" t="n"/>
      <c r="E236" s="5" t="n"/>
      <c r="F236" s="16" t="n"/>
      <c r="G236" s="5" t="n"/>
      <c r="H236" s="5" t="n"/>
      <c r="I236" s="5" t="n"/>
      <c r="J236" s="5" t="n"/>
    </row>
    <row r="237">
      <c r="A237" s="17" t="n"/>
      <c r="B237" s="5" t="n"/>
      <c r="C237" s="5" t="n"/>
      <c r="D237" s="5" t="n"/>
      <c r="E237" s="5" t="n"/>
      <c r="F237" s="16" t="n"/>
      <c r="G237" s="5" t="n"/>
      <c r="H237" s="5" t="n"/>
      <c r="I237" s="5" t="n"/>
      <c r="J237" s="5" t="n"/>
    </row>
    <row r="238">
      <c r="A238" s="17" t="n"/>
      <c r="B238" s="5" t="n"/>
      <c r="C238" s="5" t="n"/>
      <c r="D238" s="5" t="n"/>
      <c r="E238" s="5" t="n"/>
      <c r="F238" s="16" t="n"/>
      <c r="G238" s="5" t="n"/>
      <c r="H238" s="5" t="n"/>
      <c r="I238" s="5" t="n"/>
      <c r="J238" s="5" t="n"/>
    </row>
    <row r="239">
      <c r="A239" s="17" t="n"/>
      <c r="B239" s="5" t="n"/>
      <c r="C239" s="5" t="n"/>
      <c r="D239" s="5" t="n"/>
      <c r="E239" s="5" t="n"/>
      <c r="F239" s="16" t="n"/>
      <c r="G239" s="5" t="n"/>
      <c r="H239" s="5" t="n"/>
      <c r="I239" s="5" t="n"/>
      <c r="J239" s="5" t="n"/>
    </row>
    <row r="240">
      <c r="A240" s="17" t="n"/>
      <c r="B240" s="5" t="n"/>
      <c r="C240" s="5" t="n"/>
      <c r="D240" s="5" t="n"/>
      <c r="E240" s="5" t="n"/>
      <c r="F240" s="16" t="n"/>
      <c r="G240" s="5" t="n"/>
      <c r="H240" s="5" t="n"/>
      <c r="I240" s="5" t="n"/>
      <c r="J240" s="5" t="n"/>
    </row>
    <row r="241">
      <c r="A241" s="17" t="n"/>
      <c r="B241" s="5" t="n"/>
      <c r="C241" s="5" t="n"/>
      <c r="D241" s="5" t="n"/>
      <c r="E241" s="5" t="n"/>
      <c r="F241" s="16" t="n"/>
      <c r="G241" s="5" t="n"/>
      <c r="H241" s="5" t="n"/>
      <c r="I241" s="5" t="n"/>
      <c r="J241" s="5" t="n"/>
    </row>
    <row r="242">
      <c r="A242" s="17" t="n"/>
      <c r="B242" s="5" t="n"/>
      <c r="C242" s="5" t="n"/>
      <c r="D242" s="5" t="n"/>
      <c r="E242" s="5" t="n"/>
      <c r="F242" s="16" t="n"/>
      <c r="G242" s="5" t="n"/>
      <c r="H242" s="5" t="n"/>
      <c r="I242" s="5" t="n"/>
      <c r="J242" s="5" t="n"/>
    </row>
    <row r="243">
      <c r="A243" s="17" t="n"/>
      <c r="B243" s="5" t="n"/>
      <c r="C243" s="5" t="n"/>
      <c r="D243" s="5" t="n"/>
      <c r="E243" s="5" t="n"/>
      <c r="F243" s="16" t="n"/>
      <c r="G243" s="5" t="n"/>
      <c r="H243" s="5" t="n"/>
      <c r="I243" s="5" t="n"/>
      <c r="J243" s="5" t="n"/>
    </row>
    <row r="244">
      <c r="A244" s="17" t="n"/>
      <c r="B244" s="5" t="n"/>
      <c r="C244" s="5" t="n"/>
      <c r="D244" s="5" t="n"/>
      <c r="E244" s="5" t="n"/>
      <c r="F244" s="16" t="n"/>
      <c r="G244" s="5" t="n"/>
      <c r="H244" s="5" t="n"/>
      <c r="I244" s="5" t="n"/>
      <c r="J244" s="5" t="n"/>
    </row>
    <row r="245">
      <c r="A245" s="17" t="n"/>
      <c r="B245" s="5" t="n"/>
      <c r="C245" s="5" t="n"/>
      <c r="D245" s="5" t="n"/>
      <c r="E245" s="5" t="n"/>
      <c r="F245" s="16" t="n"/>
      <c r="G245" s="5" t="n"/>
      <c r="H245" s="5" t="n"/>
      <c r="I245" s="5" t="n"/>
      <c r="J245" s="5" t="n"/>
    </row>
    <row r="246">
      <c r="A246" s="17" t="n"/>
      <c r="B246" s="5" t="n"/>
      <c r="C246" s="5" t="n"/>
      <c r="D246" s="5" t="n"/>
      <c r="E246" s="5" t="n"/>
      <c r="F246" s="16" t="n"/>
      <c r="G246" s="5" t="n"/>
      <c r="H246" s="5" t="n"/>
      <c r="I246" s="5" t="n"/>
      <c r="J246" s="5" t="n"/>
    </row>
    <row r="247">
      <c r="A247" s="17" t="n"/>
      <c r="B247" s="5" t="n"/>
      <c r="C247" s="5" t="n"/>
      <c r="D247" s="5" t="n"/>
      <c r="E247" s="5" t="n"/>
      <c r="F247" s="16" t="n"/>
      <c r="G247" s="5" t="n"/>
      <c r="H247" s="5" t="n"/>
      <c r="I247" s="5" t="n"/>
      <c r="J247" s="5" t="n"/>
    </row>
    <row r="248">
      <c r="A248" s="17" t="n"/>
      <c r="B248" s="5" t="n"/>
      <c r="C248" s="5" t="n"/>
      <c r="D248" s="5" t="n"/>
      <c r="E248" s="5" t="n"/>
      <c r="F248" s="16" t="n"/>
      <c r="G248" s="5" t="n"/>
      <c r="H248" s="5" t="n"/>
      <c r="I248" s="5" t="n"/>
      <c r="J248" s="5" t="n"/>
    </row>
    <row r="249">
      <c r="A249" s="17" t="n"/>
      <c r="B249" s="5" t="n"/>
      <c r="C249" s="5" t="n"/>
      <c r="D249" s="5" t="n"/>
      <c r="E249" s="5" t="n"/>
      <c r="F249" s="16" t="n"/>
      <c r="G249" s="5" t="n"/>
      <c r="H249" s="5" t="n"/>
      <c r="I249" s="5" t="n"/>
      <c r="J249" s="5" t="n"/>
    </row>
    <row r="250">
      <c r="A250" s="17" t="n"/>
      <c r="B250" s="5" t="n"/>
      <c r="C250" s="5" t="n"/>
      <c r="D250" s="5" t="n"/>
      <c r="E250" s="5" t="n"/>
      <c r="F250" s="16" t="n"/>
      <c r="G250" s="5" t="n"/>
      <c r="H250" s="5" t="n"/>
      <c r="I250" s="5" t="n"/>
      <c r="J250" s="5" t="n"/>
    </row>
    <row r="251">
      <c r="A251" s="17" t="n"/>
      <c r="B251" s="5" t="n"/>
      <c r="C251" s="5" t="n"/>
      <c r="D251" s="5" t="n"/>
      <c r="E251" s="5" t="n"/>
      <c r="F251" s="16" t="n"/>
      <c r="G251" s="5" t="n"/>
      <c r="H251" s="5" t="n"/>
      <c r="I251" s="5" t="n"/>
      <c r="J251" s="5" t="n"/>
    </row>
    <row r="252">
      <c r="A252" s="17" t="n"/>
      <c r="B252" s="5" t="n"/>
      <c r="C252" s="5" t="n"/>
      <c r="D252" s="5" t="n"/>
      <c r="E252" s="5" t="n"/>
      <c r="F252" s="16" t="n"/>
      <c r="G252" s="5" t="n"/>
      <c r="H252" s="5" t="n"/>
      <c r="I252" s="5" t="n"/>
      <c r="J252" s="5" t="n"/>
    </row>
    <row r="253">
      <c r="A253" s="17" t="n"/>
      <c r="B253" s="5" t="n"/>
      <c r="C253" s="5" t="n"/>
      <c r="D253" s="5" t="n"/>
      <c r="E253" s="5" t="n"/>
      <c r="F253" s="16" t="n"/>
      <c r="G253" s="5" t="n"/>
      <c r="H253" s="5" t="n"/>
      <c r="I253" s="5" t="n"/>
      <c r="J253" s="5" t="n"/>
    </row>
    <row r="254">
      <c r="A254" s="17" t="n"/>
      <c r="B254" s="5" t="n"/>
      <c r="C254" s="5" t="n"/>
      <c r="D254" s="5" t="n"/>
      <c r="E254" s="5" t="n"/>
      <c r="F254" s="16" t="n"/>
      <c r="G254" s="5" t="n"/>
      <c r="H254" s="5" t="n"/>
      <c r="I254" s="5" t="n"/>
      <c r="J254" s="5" t="n"/>
    </row>
    <row r="255">
      <c r="A255" s="17" t="n"/>
      <c r="B255" s="5" t="n"/>
      <c r="C255" s="5" t="n"/>
      <c r="D255" s="5" t="n"/>
      <c r="E255" s="5" t="n"/>
      <c r="F255" s="16" t="n"/>
      <c r="G255" s="5" t="n"/>
      <c r="H255" s="5" t="n"/>
      <c r="I255" s="5" t="n"/>
      <c r="J255" s="5" t="n"/>
    </row>
    <row r="256">
      <c r="A256" s="17" t="n"/>
      <c r="B256" s="5" t="n"/>
      <c r="C256" s="5" t="n"/>
      <c r="D256" s="5" t="n"/>
      <c r="E256" s="5" t="n"/>
      <c r="F256" s="16" t="n"/>
      <c r="G256" s="5" t="n"/>
      <c r="H256" s="5" t="n"/>
      <c r="I256" s="5" t="n"/>
      <c r="J256" s="5" t="n"/>
    </row>
    <row r="257">
      <c r="A257" s="17" t="n"/>
      <c r="B257" s="5" t="n"/>
      <c r="C257" s="5" t="n"/>
      <c r="D257" s="5" t="n"/>
      <c r="E257" s="5" t="n"/>
      <c r="F257" s="16" t="n"/>
      <c r="G257" s="5" t="n"/>
      <c r="H257" s="5" t="n"/>
      <c r="I257" s="5" t="n"/>
      <c r="J257" s="5" t="n"/>
    </row>
    <row r="258">
      <c r="A258" s="17" t="n"/>
      <c r="B258" s="5" t="n"/>
      <c r="C258" s="5" t="n"/>
      <c r="D258" s="5" t="n"/>
      <c r="E258" s="5" t="n"/>
      <c r="F258" s="16" t="n"/>
      <c r="G258" s="5" t="n"/>
      <c r="H258" s="5" t="n"/>
      <c r="I258" s="5" t="n"/>
      <c r="J258" s="5" t="n"/>
    </row>
    <row r="259">
      <c r="A259" s="17" t="n"/>
      <c r="B259" s="5" t="n"/>
      <c r="C259" s="5" t="n"/>
      <c r="D259" s="5" t="n"/>
      <c r="E259" s="5" t="n"/>
      <c r="F259" s="16" t="n"/>
      <c r="G259" s="5" t="n"/>
      <c r="H259" s="5" t="n"/>
      <c r="I259" s="5" t="n"/>
      <c r="J259" s="5" t="n"/>
    </row>
    <row r="260">
      <c r="A260" s="17" t="n"/>
      <c r="B260" s="5" t="n"/>
      <c r="C260" s="5" t="n"/>
      <c r="D260" s="5" t="n"/>
      <c r="E260" s="5" t="n"/>
      <c r="F260" s="16" t="n"/>
      <c r="G260" s="5" t="n"/>
      <c r="H260" s="5" t="n"/>
      <c r="I260" s="5" t="n"/>
      <c r="J260" s="5" t="n"/>
    </row>
    <row r="261">
      <c r="A261" s="17" t="n"/>
      <c r="B261" s="5" t="n"/>
      <c r="C261" s="5" t="n"/>
      <c r="D261" s="5" t="n"/>
      <c r="E261" s="5" t="n"/>
      <c r="F261" s="16" t="n"/>
      <c r="G261" s="5" t="n"/>
      <c r="H261" s="5" t="n"/>
      <c r="I261" s="5" t="n"/>
      <c r="J261" s="5" t="n"/>
    </row>
    <row r="262">
      <c r="A262" s="17" t="n"/>
      <c r="B262" s="5" t="n"/>
      <c r="C262" s="5" t="n"/>
      <c r="D262" s="5" t="n"/>
      <c r="E262" s="5" t="n"/>
      <c r="F262" s="16" t="n"/>
      <c r="G262" s="5" t="n"/>
      <c r="H262" s="5" t="n"/>
      <c r="I262" s="5" t="n"/>
      <c r="J262" s="5" t="n"/>
    </row>
    <row r="263">
      <c r="A263" s="17" t="n"/>
      <c r="B263" s="5" t="n"/>
      <c r="C263" s="5" t="n"/>
      <c r="D263" s="5" t="n"/>
      <c r="E263" s="5" t="n"/>
      <c r="F263" s="16" t="n"/>
      <c r="G263" s="5" t="n"/>
      <c r="H263" s="5" t="n"/>
      <c r="I263" s="5" t="n"/>
      <c r="J263" s="5" t="n"/>
    </row>
    <row r="264">
      <c r="A264" s="17" t="n"/>
      <c r="B264" s="5" t="n"/>
      <c r="C264" s="5" t="n"/>
      <c r="D264" s="5" t="n"/>
      <c r="E264" s="5" t="n"/>
      <c r="F264" s="16" t="n"/>
      <c r="G264" s="5" t="n"/>
      <c r="H264" s="5" t="n"/>
      <c r="I264" s="5" t="n"/>
      <c r="J264" s="5" t="n"/>
    </row>
    <row r="265">
      <c r="A265" s="17" t="n"/>
      <c r="B265" s="5" t="n"/>
      <c r="C265" s="5" t="n"/>
      <c r="D265" s="5" t="n"/>
      <c r="E265" s="5" t="n"/>
      <c r="F265" s="16" t="n"/>
      <c r="G265" s="5" t="n"/>
      <c r="H265" s="5" t="n"/>
      <c r="I265" s="5" t="n"/>
      <c r="J265" s="5" t="n"/>
    </row>
    <row r="266">
      <c r="A266" s="17" t="n"/>
      <c r="B266" s="5" t="n"/>
      <c r="C266" s="5" t="n"/>
      <c r="D266" s="5" t="n"/>
      <c r="E266" s="5" t="n"/>
      <c r="F266" s="16" t="n"/>
      <c r="G266" s="5" t="n"/>
      <c r="H266" s="5" t="n"/>
      <c r="I266" s="5" t="n"/>
      <c r="J266" s="5" t="n"/>
    </row>
    <row r="267">
      <c r="A267" s="17" t="n"/>
      <c r="B267" s="5" t="n"/>
      <c r="C267" s="5" t="n"/>
      <c r="D267" s="5" t="n"/>
      <c r="E267" s="5" t="n"/>
      <c r="F267" s="16" t="n"/>
      <c r="G267" s="5" t="n"/>
      <c r="H267" s="5" t="n"/>
      <c r="I267" s="5" t="n"/>
      <c r="J267" s="5" t="n"/>
    </row>
    <row r="268">
      <c r="A268" s="17" t="n"/>
      <c r="B268" s="5" t="n"/>
      <c r="C268" s="5" t="n"/>
      <c r="D268" s="5" t="n"/>
      <c r="E268" s="5" t="n"/>
      <c r="F268" s="16" t="n"/>
      <c r="G268" s="5" t="n"/>
      <c r="H268" s="5" t="n"/>
      <c r="I268" s="5" t="n"/>
      <c r="J268" s="5" t="n"/>
    </row>
    <row r="269">
      <c r="A269" s="17" t="n"/>
      <c r="B269" s="5" t="n"/>
      <c r="C269" s="5" t="n"/>
      <c r="D269" s="5" t="n"/>
      <c r="E269" s="5" t="n"/>
      <c r="F269" s="16" t="n"/>
      <c r="G269" s="5" t="n"/>
      <c r="H269" s="5" t="n"/>
      <c r="I269" s="5" t="n"/>
      <c r="J269" s="5" t="n"/>
    </row>
    <row r="270">
      <c r="A270" s="17" t="n"/>
      <c r="B270" s="5" t="n"/>
      <c r="C270" s="5" t="n"/>
      <c r="D270" s="5" t="n"/>
      <c r="E270" s="5" t="n"/>
      <c r="F270" s="16" t="n"/>
      <c r="G270" s="5" t="n"/>
      <c r="H270" s="5" t="n"/>
      <c r="I270" s="5" t="n"/>
      <c r="J270" s="5" t="n"/>
    </row>
    <row r="271">
      <c r="A271" s="17" t="n"/>
      <c r="B271" s="5" t="n"/>
      <c r="C271" s="5" t="n"/>
      <c r="D271" s="5" t="n"/>
      <c r="E271" s="5" t="n"/>
      <c r="F271" s="16" t="n"/>
      <c r="G271" s="5" t="n"/>
      <c r="H271" s="5" t="n"/>
      <c r="I271" s="5" t="n"/>
      <c r="J271" s="5" t="n"/>
    </row>
    <row r="272">
      <c r="A272" s="17" t="n"/>
      <c r="B272" s="5" t="n"/>
      <c r="C272" s="5" t="n"/>
      <c r="D272" s="5" t="n"/>
      <c r="E272" s="5" t="n"/>
      <c r="F272" s="16" t="n"/>
      <c r="G272" s="5" t="n"/>
      <c r="H272" s="5" t="n"/>
      <c r="I272" s="5" t="n"/>
      <c r="J272" s="5" t="n"/>
    </row>
    <row r="273">
      <c r="A273" s="17" t="n"/>
      <c r="B273" s="5" t="n"/>
      <c r="C273" s="5" t="n"/>
      <c r="D273" s="5" t="n"/>
      <c r="E273" s="5" t="n"/>
      <c r="F273" s="16" t="n"/>
      <c r="G273" s="5" t="n"/>
      <c r="H273" s="5" t="n"/>
      <c r="I273" s="5" t="n"/>
      <c r="J273" s="5" t="n"/>
    </row>
    <row r="274">
      <c r="A274" s="17" t="n"/>
      <c r="B274" s="5" t="n"/>
      <c r="C274" s="5" t="n"/>
      <c r="D274" s="5" t="n"/>
      <c r="E274" s="5" t="n"/>
      <c r="F274" s="16" t="n"/>
      <c r="G274" s="5" t="n"/>
      <c r="H274" s="5" t="n"/>
      <c r="I274" s="5" t="n"/>
      <c r="J274" s="5" t="n"/>
    </row>
    <row r="275">
      <c r="A275" s="17" t="n"/>
      <c r="B275" s="5" t="n"/>
      <c r="C275" s="5" t="n"/>
      <c r="D275" s="5" t="n"/>
      <c r="E275" s="5" t="n"/>
      <c r="F275" s="16" t="n"/>
      <c r="G275" s="5" t="n"/>
      <c r="H275" s="5" t="n"/>
      <c r="I275" s="5" t="n"/>
      <c r="J275" s="5" t="n"/>
    </row>
    <row r="276">
      <c r="A276" s="17" t="n"/>
      <c r="B276" s="5" t="n"/>
      <c r="C276" s="5" t="n"/>
      <c r="D276" s="5" t="n"/>
      <c r="E276" s="5" t="n"/>
      <c r="F276" s="16" t="n"/>
      <c r="G276" s="5" t="n"/>
      <c r="H276" s="5" t="n"/>
      <c r="I276" s="5" t="n"/>
      <c r="J276" s="5" t="n"/>
    </row>
    <row r="277">
      <c r="A277" s="17" t="n"/>
      <c r="B277" s="5" t="n"/>
      <c r="C277" s="5" t="n"/>
      <c r="D277" s="5" t="n"/>
      <c r="E277" s="5" t="n"/>
      <c r="F277" s="16" t="n"/>
      <c r="G277" s="5" t="n"/>
      <c r="H277" s="5" t="n"/>
      <c r="I277" s="5" t="n"/>
      <c r="J277" s="5" t="n"/>
    </row>
    <row r="278">
      <c r="A278" s="17" t="n"/>
      <c r="B278" s="5" t="n"/>
      <c r="C278" s="5" t="n"/>
      <c r="D278" s="5" t="n"/>
      <c r="E278" s="5" t="n"/>
      <c r="F278" s="16" t="n"/>
      <c r="G278" s="5" t="n"/>
      <c r="H278" s="5" t="n"/>
      <c r="I278" s="5" t="n"/>
      <c r="J278" s="5" t="n"/>
    </row>
    <row r="279">
      <c r="A279" s="17" t="n"/>
      <c r="B279" s="5" t="n"/>
      <c r="C279" s="5" t="n"/>
      <c r="D279" s="5" t="n"/>
      <c r="E279" s="5" t="n"/>
      <c r="F279" s="16" t="n"/>
      <c r="G279" s="5" t="n"/>
      <c r="H279" s="5" t="n"/>
      <c r="I279" s="5" t="n"/>
      <c r="J279" s="5" t="n"/>
    </row>
    <row r="280">
      <c r="A280" s="17" t="n"/>
      <c r="B280" s="5" t="n"/>
      <c r="C280" s="5" t="n"/>
      <c r="D280" s="5" t="n"/>
      <c r="E280" s="5" t="n"/>
      <c r="F280" s="16" t="n"/>
      <c r="G280" s="5" t="n"/>
      <c r="H280" s="5" t="n"/>
      <c r="I280" s="5" t="n"/>
      <c r="J280" s="5" t="n"/>
    </row>
    <row r="281">
      <c r="A281" s="17" t="n"/>
      <c r="B281" s="5" t="n"/>
      <c r="C281" s="5" t="n"/>
      <c r="D281" s="5" t="n"/>
      <c r="E281" s="5" t="n"/>
      <c r="F281" s="16" t="n"/>
      <c r="G281" s="5" t="n"/>
      <c r="H281" s="5" t="n"/>
      <c r="I281" s="5" t="n"/>
      <c r="J281" s="5" t="n"/>
    </row>
    <row r="282">
      <c r="A282" s="17" t="n"/>
      <c r="B282" s="5" t="n"/>
      <c r="C282" s="5" t="n"/>
      <c r="D282" s="5" t="n"/>
      <c r="E282" s="5" t="n"/>
      <c r="F282" s="16" t="n"/>
      <c r="G282" s="5" t="n"/>
      <c r="H282" s="5" t="n"/>
      <c r="I282" s="5" t="n"/>
      <c r="J282" s="5" t="n"/>
    </row>
    <row r="283">
      <c r="A283" s="17" t="n"/>
      <c r="B283" s="5" t="n"/>
      <c r="C283" s="5" t="n"/>
      <c r="D283" s="5" t="n"/>
      <c r="E283" s="5" t="n"/>
      <c r="F283" s="16" t="n"/>
      <c r="G283" s="5" t="n"/>
      <c r="H283" s="5" t="n"/>
      <c r="I283" s="5" t="n"/>
      <c r="J283" s="5" t="n"/>
    </row>
    <row r="284">
      <c r="A284" s="17" t="n"/>
      <c r="B284" s="5" t="n"/>
      <c r="C284" s="5" t="n"/>
      <c r="D284" s="5" t="n"/>
      <c r="E284" s="5" t="n"/>
      <c r="F284" s="16" t="n"/>
      <c r="G284" s="5" t="n"/>
      <c r="H284" s="5" t="n"/>
      <c r="I284" s="5" t="n"/>
      <c r="J284" s="5" t="n"/>
    </row>
    <row r="285">
      <c r="A285" s="17" t="n"/>
      <c r="B285" s="5" t="n"/>
      <c r="C285" s="5" t="n"/>
      <c r="D285" s="5" t="n"/>
      <c r="E285" s="5" t="n"/>
      <c r="F285" s="16" t="n"/>
      <c r="G285" s="5" t="n"/>
      <c r="H285" s="5" t="n"/>
      <c r="I285" s="5" t="n"/>
      <c r="J285" s="5" t="n"/>
    </row>
    <row r="286">
      <c r="A286" s="17" t="n"/>
      <c r="B286" s="5" t="n"/>
      <c r="C286" s="5" t="n"/>
      <c r="D286" s="5" t="n"/>
      <c r="E286" s="5" t="n"/>
      <c r="F286" s="16" t="n"/>
      <c r="G286" s="5" t="n"/>
      <c r="H286" s="5" t="n"/>
      <c r="I286" s="5" t="n"/>
      <c r="J286" s="5" t="n"/>
    </row>
    <row r="287">
      <c r="A287" s="17" t="n"/>
      <c r="B287" s="5" t="n"/>
      <c r="C287" s="5" t="n"/>
      <c r="D287" s="5" t="n"/>
      <c r="E287" s="5" t="n"/>
      <c r="F287" s="16" t="n"/>
      <c r="G287" s="5" t="n"/>
      <c r="H287" s="5" t="n"/>
      <c r="I287" s="5" t="n"/>
      <c r="J287" s="5" t="n"/>
    </row>
    <row r="288">
      <c r="A288" s="17" t="n"/>
      <c r="B288" s="5" t="n"/>
      <c r="C288" s="5" t="n"/>
      <c r="D288" s="5" t="n"/>
      <c r="E288" s="5" t="n"/>
      <c r="F288" s="16" t="n"/>
      <c r="G288" s="5" t="n"/>
      <c r="H288" s="5" t="n"/>
      <c r="I288" s="5" t="n"/>
      <c r="J288" s="5" t="n"/>
    </row>
    <row r="289">
      <c r="A289" s="17" t="n"/>
      <c r="B289" s="5" t="n"/>
      <c r="C289" s="5" t="n"/>
      <c r="D289" s="5" t="n"/>
      <c r="E289" s="5" t="n"/>
      <c r="F289" s="16" t="n"/>
      <c r="G289" s="5" t="n"/>
      <c r="H289" s="5" t="n"/>
      <c r="I289" s="5" t="n"/>
      <c r="J289" s="5" t="n"/>
    </row>
    <row r="290">
      <c r="A290" s="17" t="n"/>
      <c r="B290" s="5" t="n"/>
      <c r="C290" s="5" t="n"/>
      <c r="D290" s="5" t="n"/>
      <c r="E290" s="5" t="n"/>
      <c r="F290" s="16" t="n"/>
      <c r="G290" s="5" t="n"/>
      <c r="H290" s="5" t="n"/>
      <c r="I290" s="5" t="n"/>
      <c r="J290" s="5" t="n"/>
    </row>
    <row r="291">
      <c r="A291" s="17" t="n"/>
      <c r="B291" s="5" t="n"/>
      <c r="C291" s="5" t="n"/>
      <c r="D291" s="5" t="n"/>
      <c r="E291" s="5" t="n"/>
      <c r="F291" s="16" t="n"/>
      <c r="G291" s="5" t="n"/>
      <c r="H291" s="5" t="n"/>
      <c r="I291" s="5" t="n"/>
      <c r="J291" s="5" t="n"/>
    </row>
    <row r="292">
      <c r="A292" s="17" t="n"/>
      <c r="B292" s="5" t="n"/>
      <c r="C292" s="5" t="n"/>
      <c r="D292" s="5" t="n"/>
      <c r="E292" s="5" t="n"/>
      <c r="F292" s="16" t="n"/>
      <c r="G292" s="5" t="n"/>
      <c r="H292" s="5" t="n"/>
      <c r="I292" s="5" t="n"/>
      <c r="J292" s="5" t="n"/>
    </row>
    <row r="293">
      <c r="A293" s="17" t="n"/>
      <c r="B293" s="5" t="n"/>
      <c r="C293" s="5" t="n"/>
      <c r="D293" s="5" t="n"/>
      <c r="E293" s="5" t="n"/>
      <c r="F293" s="16" t="n"/>
      <c r="G293" s="5" t="n"/>
      <c r="H293" s="5" t="n"/>
      <c r="I293" s="5" t="n"/>
      <c r="J293" s="5" t="n"/>
    </row>
    <row r="294">
      <c r="A294" s="17" t="n"/>
      <c r="B294" s="5" t="n"/>
      <c r="C294" s="5" t="n"/>
      <c r="D294" s="5" t="n"/>
      <c r="E294" s="5" t="n"/>
      <c r="F294" s="16" t="n"/>
      <c r="G294" s="5" t="n"/>
      <c r="H294" s="5" t="n"/>
      <c r="I294" s="5" t="n"/>
      <c r="J294" s="5" t="n"/>
    </row>
    <row r="295">
      <c r="A295" s="17" t="n"/>
      <c r="B295" s="5" t="n"/>
      <c r="C295" s="5" t="n"/>
      <c r="D295" s="5" t="n"/>
      <c r="E295" s="5" t="n"/>
      <c r="F295" s="16" t="n"/>
      <c r="G295" s="5" t="n"/>
      <c r="H295" s="5" t="n"/>
      <c r="I295" s="5" t="n"/>
      <c r="J295" s="5" t="n"/>
    </row>
    <row r="296">
      <c r="A296" s="17" t="n"/>
      <c r="B296" s="5" t="n"/>
      <c r="C296" s="5" t="n"/>
      <c r="D296" s="5" t="n"/>
      <c r="E296" s="5" t="n"/>
      <c r="F296" s="16" t="n"/>
      <c r="G296" s="5" t="n"/>
      <c r="H296" s="5" t="n"/>
      <c r="I296" s="5" t="n"/>
      <c r="J296" s="5" t="n"/>
    </row>
    <row r="297">
      <c r="A297" s="17" t="n"/>
      <c r="B297" s="5" t="n"/>
      <c r="C297" s="5" t="n"/>
      <c r="D297" s="5" t="n"/>
      <c r="E297" s="5" t="n"/>
      <c r="F297" s="16" t="n"/>
      <c r="G297" s="5" t="n"/>
      <c r="H297" s="5" t="n"/>
      <c r="I297" s="5" t="n"/>
      <c r="J297" s="5" t="n"/>
    </row>
    <row r="298">
      <c r="A298" s="17" t="n"/>
      <c r="B298" s="5" t="n"/>
      <c r="C298" s="5" t="n"/>
      <c r="D298" s="5" t="n"/>
      <c r="E298" s="5" t="n"/>
      <c r="F298" s="16" t="n"/>
      <c r="G298" s="5" t="n"/>
      <c r="H298" s="5" t="n"/>
      <c r="I298" s="5" t="n"/>
      <c r="J298" s="5" t="n"/>
    </row>
    <row r="299">
      <c r="A299" s="17" t="n"/>
      <c r="B299" s="5" t="n"/>
      <c r="C299" s="5" t="n"/>
      <c r="D299" s="5" t="n"/>
      <c r="E299" s="5" t="n"/>
      <c r="F299" s="16" t="n"/>
      <c r="G299" s="5" t="n"/>
      <c r="H299" s="5" t="n"/>
      <c r="I299" s="5" t="n"/>
      <c r="J299" s="5" t="n"/>
    </row>
  </sheetData>
  <mergeCells count="1">
    <mergeCell ref="A1:J1"/>
  </mergeCells>
  <dataValidations count="2">
    <dataValidation sqref="D4:D2000" showDropDown="0" showInputMessage="0" showErrorMessage="0" allowBlank="1" type="list">
      <formula1>=LISTA_CATEGORIAS</formula1>
    </dataValidation>
    <dataValidation sqref="B4:B2000" showDropDown="0" showInputMessage="0" showErrorMessage="0" allowBlank="1" type="list">
      <formula1>"INGRESO,EGRESO"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4" customWidth="1" min="4" max="4"/>
    <col width="34" customWidth="1" min="5" max="5"/>
  </cols>
  <sheetData>
    <row r="1" ht="30" customHeight="1">
      <c r="A1" s="1" t="inlineStr">
        <is>
          <t>GASTOS FIJOS  ·  lo que se paga todos los meses</t>
        </is>
      </c>
    </row>
    <row r="2">
      <c r="A2" s="4" t="inlineStr">
        <is>
          <t>Lo que vive acá no se escanea: se repite solo. Las cuotas de créditos NO van acá sino en COMPROMISOS, o se contarían dos veces.</t>
        </is>
      </c>
    </row>
    <row r="3">
      <c r="A3" s="7" t="inlineStr">
        <is>
          <t>CONCEPTO</t>
        </is>
      </c>
      <c r="B3" s="7" t="inlineStr">
        <is>
          <t>CATEGORÍA</t>
        </is>
      </c>
      <c r="C3" s="7" t="inlineStr">
        <is>
          <t>MONTO</t>
        </is>
      </c>
      <c r="D3" s="7" t="inlineStr">
        <is>
          <t>DÍA DE PAGO</t>
        </is>
      </c>
      <c r="E3" s="7" t="inlineStr">
        <is>
          <t>NOTA</t>
        </is>
      </c>
    </row>
    <row r="4">
      <c r="A4" s="5" t="inlineStr">
        <is>
          <t>Pensiones hijos</t>
        </is>
      </c>
      <c r="B4" s="5" t="inlineStr">
        <is>
          <t>PENSIONES</t>
        </is>
      </c>
      <c r="C4" s="16" t="n">
        <v>240800</v>
      </c>
      <c r="D4" s="5" t="n">
        <v>5</v>
      </c>
      <c r="E4" s="5" t="inlineStr">
        <is>
          <t>Dos pensiones</t>
        </is>
      </c>
    </row>
    <row r="5">
      <c r="A5" s="5" t="inlineStr">
        <is>
          <t>Wom</t>
        </is>
      </c>
      <c r="B5" s="5" t="inlineStr">
        <is>
          <t>CUENTAS</t>
        </is>
      </c>
      <c r="C5" s="16" t="n">
        <v>28981</v>
      </c>
      <c r="D5" s="5" t="n">
        <v>15</v>
      </c>
      <c r="E5" s="5" t="inlineStr"/>
    </row>
    <row r="6">
      <c r="A6" s="5" t="inlineStr">
        <is>
          <t>Luz</t>
        </is>
      </c>
      <c r="B6" s="5" t="inlineStr">
        <is>
          <t>CUENTAS</t>
        </is>
      </c>
      <c r="C6" s="16" t="n">
        <v>15000</v>
      </c>
      <c r="D6" s="5" t="n">
        <v>20</v>
      </c>
      <c r="E6" s="5" t="inlineStr"/>
    </row>
    <row r="7">
      <c r="A7" s="5" t="inlineStr">
        <is>
          <t>Gas</t>
        </is>
      </c>
      <c r="B7" s="5" t="inlineStr">
        <is>
          <t>CUENTAS</t>
        </is>
      </c>
      <c r="C7" s="16" t="n">
        <v>20000</v>
      </c>
      <c r="D7" s="5" t="n">
        <v>20</v>
      </c>
      <c r="E7" s="5" t="inlineStr"/>
    </row>
    <row r="8">
      <c r="A8" s="5" t="inlineStr">
        <is>
          <t>Agua</t>
        </is>
      </c>
      <c r="B8" s="5" t="inlineStr">
        <is>
          <t>CUENTAS</t>
        </is>
      </c>
      <c r="C8" s="16" t="n">
        <v>12000</v>
      </c>
      <c r="D8" s="5" t="n">
        <v>20</v>
      </c>
      <c r="E8" s="5" t="inlineStr"/>
    </row>
    <row r="9">
      <c r="A9" s="5" t="inlineStr">
        <is>
          <t>Ahorro casa</t>
        </is>
      </c>
      <c r="B9" s="5" t="inlineStr">
        <is>
          <t>AHORRO CASA</t>
        </is>
      </c>
      <c r="C9" s="16" t="n">
        <v>370000</v>
      </c>
      <c r="D9" s="5" t="n">
        <v>30</v>
      </c>
      <c r="E9" s="5" t="inlineStr">
        <is>
          <t>Meta de vivienda</t>
        </is>
      </c>
    </row>
    <row r="10">
      <c r="A10" s="5" t="inlineStr">
        <is>
          <t>Ahorro emergencias</t>
        </is>
      </c>
      <c r="B10" s="5" t="inlineStr">
        <is>
          <t>AHORRO EMERGENCIAS</t>
        </is>
      </c>
      <c r="C10" s="16" t="n">
        <v>15000</v>
      </c>
      <c r="D10" s="5" t="n">
        <v>30</v>
      </c>
      <c r="E10" s="5" t="inlineStr"/>
    </row>
    <row r="11">
      <c r="A11" s="10" t="inlineStr">
        <is>
          <t>TOTAL FIJO AL MES</t>
        </is>
      </c>
      <c r="B11" s="6" t="n"/>
      <c r="C11" s="11">
        <f>SUM(C4:C10)</f>
        <v/>
      </c>
      <c r="D11" s="6" t="n"/>
      <c r="E11" s="6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8" customWidth="1" min="5" max="5"/>
    <col width="16" customWidth="1" min="6" max="6"/>
    <col width="10" customWidth="1" min="7" max="7"/>
    <col width="16" customWidth="1" min="8" max="8"/>
    <col width="14" customWidth="1" min="9" max="9"/>
  </cols>
  <sheetData>
    <row r="1" ht="30" customHeight="1">
      <c r="A1" s="1" t="inlineStr">
        <is>
          <t>COMPROMISOS  ·  créditos en cuotas</t>
        </is>
      </c>
    </row>
    <row r="2">
      <c r="A2" s="4" t="inlineStr">
        <is>
          <t>Escribe la cuota inicial una vez. Las cuotas pagadas se calculan solas con la fecha de hoy, y la columna TERMINA te dice cuándo se acaba.</t>
        </is>
      </c>
    </row>
    <row r="3">
      <c r="A3" s="7" t="inlineStr">
        <is>
          <t>ACREEDOR</t>
        </is>
      </c>
      <c r="B3" s="7" t="inlineStr">
        <is>
          <t>QUÉ ES</t>
        </is>
      </c>
      <c r="C3" s="7" t="inlineStr">
        <is>
          <t>CUOTA</t>
        </is>
      </c>
      <c r="D3" s="7" t="inlineStr">
        <is>
          <t>PAGADAS</t>
        </is>
      </c>
      <c r="E3" s="7" t="inlineStr">
        <is>
          <t>TOTAL</t>
        </is>
      </c>
      <c r="F3" s="7" t="inlineStr">
        <is>
          <t>PENDIENTE</t>
        </is>
      </c>
      <c r="G3" s="7" t="inlineStr">
        <is>
          <t>AVANCE</t>
        </is>
      </c>
      <c r="H3" s="7" t="inlineStr">
        <is>
          <t>PRIMERA CUOTA</t>
        </is>
      </c>
      <c r="I3" s="7" t="inlineStr">
        <is>
          <t>TERMINA</t>
        </is>
      </c>
    </row>
    <row r="4">
      <c r="A4" s="5" t="inlineStr">
        <is>
          <t>Caja los Andes</t>
        </is>
      </c>
      <c r="B4" s="5" t="inlineStr">
        <is>
          <t>Credito consumo</t>
        </is>
      </c>
      <c r="C4" s="16" t="n">
        <v>117650</v>
      </c>
      <c r="D4" s="6">
        <f>MEDIAN(0,E4,DATEDIF(H4,TODAY(),"M")+1)</f>
        <v/>
      </c>
      <c r="E4" s="5" t="n">
        <v>24</v>
      </c>
      <c r="F4" s="8">
        <f>(E4-D4)*C4</f>
        <v/>
      </c>
      <c r="G4" s="9">
        <f>IFERROR(D4/E4,0)</f>
        <v/>
      </c>
      <c r="H4" s="17" t="inlineStr">
        <is>
          <t>2025-03-05</t>
        </is>
      </c>
      <c r="I4" s="18">
        <f>EDATE(H4,E4-1)</f>
        <v/>
      </c>
    </row>
    <row r="5">
      <c r="A5" s="5" t="inlineStr">
        <is>
          <t>Wom</t>
        </is>
      </c>
      <c r="B5" s="5" t="inlineStr">
        <is>
          <t>Equipo en cuotas</t>
        </is>
      </c>
      <c r="C5" s="16" t="n">
        <v>5000</v>
      </c>
      <c r="D5" s="6">
        <f>MEDIAN(0,E5,DATEDIF(H5,TODAY(),"M")+1)</f>
        <v/>
      </c>
      <c r="E5" s="5" t="n">
        <v>12</v>
      </c>
      <c r="F5" s="8">
        <f>(E5-D5)*C5</f>
        <v/>
      </c>
      <c r="G5" s="9">
        <f>IFERROR(D5/E5,0)</f>
        <v/>
      </c>
      <c r="H5" s="17" t="inlineStr">
        <is>
          <t>2026-05-10</t>
        </is>
      </c>
      <c r="I5" s="18">
        <f>EDATE(H5,E5-1)</f>
        <v/>
      </c>
    </row>
    <row r="6">
      <c r="A6" s="5" t="inlineStr">
        <is>
          <t>Contador</t>
        </is>
      </c>
      <c r="B6" s="5" t="inlineStr">
        <is>
          <t>Servicio</t>
        </is>
      </c>
      <c r="C6" s="16" t="n">
        <v>60000</v>
      </c>
      <c r="D6" s="6">
        <f>MEDIAN(0,E6,DATEDIF(H6,TODAY(),"M")+1)</f>
        <v/>
      </c>
      <c r="E6" s="5" t="n">
        <v>1</v>
      </c>
      <c r="F6" s="8">
        <f>(E6-D6)*C6</f>
        <v/>
      </c>
      <c r="G6" s="9">
        <f>IFERROR(D6/E6,0)</f>
        <v/>
      </c>
      <c r="H6" s="17" t="inlineStr">
        <is>
          <t>2026-08-01</t>
        </is>
      </c>
      <c r="I6" s="18">
        <f>EDATE(H6,E6-1)</f>
        <v/>
      </c>
    </row>
    <row r="7">
      <c r="A7" s="13" t="inlineStr">
        <is>
          <t>TOTAL</t>
        </is>
      </c>
      <c r="B7" s="6" t="n"/>
      <c r="C7" s="14">
        <f>SUM(C4:C6)</f>
        <v/>
      </c>
      <c r="D7" s="6" t="n"/>
      <c r="E7" s="6" t="n"/>
      <c r="F7" s="14">
        <f>SUM(F4:F6)</f>
        <v/>
      </c>
      <c r="G7" s="6" t="n"/>
      <c r="H7" s="6" t="n"/>
      <c r="I7" s="6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0" customHeight="1">
      <c r="A1" s="1" t="inlineStr">
        <is>
          <t>INVERSIONES  ·  plata puesta que espera volver</t>
        </is>
      </c>
    </row>
    <row r="2">
      <c r="A2" s="4" t="inlineStr">
        <is>
          <t>Separado de los gastos a propósito: una inversión no es plata que se fue, es plata que cambió de forma.</t>
        </is>
      </c>
    </row>
    <row r="3">
      <c r="A3" s="7" t="inlineStr">
        <is>
          <t>PROYECTO</t>
        </is>
      </c>
      <c r="B3" s="7" t="inlineStr">
        <is>
          <t>TIPO</t>
        </is>
      </c>
      <c r="C3" s="7" t="inlineStr">
        <is>
          <t>INVERTIDO</t>
        </is>
      </c>
      <c r="D3" s="7" t="inlineStr">
        <is>
          <t>RECUPERADO</t>
        </is>
      </c>
      <c r="E3" s="7" t="inlineStr">
        <is>
          <t>SALDO</t>
        </is>
      </c>
      <c r="F3" s="7" t="inlineStr">
        <is>
          <t>ESTADO</t>
        </is>
      </c>
    </row>
    <row r="4">
      <c r="A4" s="5" t="inlineStr">
        <is>
          <t>Restauracion Daewoo</t>
        </is>
      </c>
      <c r="B4" s="5" t="inlineStr">
        <is>
          <t>Auto</t>
        </is>
      </c>
      <c r="C4" s="16" t="n">
        <v>22000</v>
      </c>
      <c r="D4" s="16" t="n">
        <v>0</v>
      </c>
      <c r="E4" s="8">
        <f>D4-C4</f>
        <v/>
      </c>
      <c r="F4" s="5" t="inlineStr">
        <is>
          <t>En curso</t>
        </is>
      </c>
    </row>
    <row r="5">
      <c r="A5" s="5" t="inlineStr">
        <is>
          <t>Paneles Quintero</t>
        </is>
      </c>
      <c r="B5" s="5" t="inlineStr">
        <is>
          <t>Servicio</t>
        </is>
      </c>
      <c r="C5" s="16" t="n">
        <v>0</v>
      </c>
      <c r="D5" s="16" t="n">
        <v>65000</v>
      </c>
      <c r="E5" s="8">
        <f>D5-C5</f>
        <v/>
      </c>
      <c r="F5" s="5" t="inlineStr">
        <is>
          <t>Por cobrar</t>
        </is>
      </c>
    </row>
    <row r="6">
      <c r="A6" s="5" t="inlineStr">
        <is>
          <t>Carrera Ingenieria</t>
        </is>
      </c>
      <c r="B6" s="5" t="inlineStr">
        <is>
          <t>Estudios</t>
        </is>
      </c>
      <c r="C6" s="16" t="n">
        <v>260000</v>
      </c>
      <c r="D6" s="16" t="n">
        <v>0</v>
      </c>
      <c r="E6" s="8">
        <f>D6-C6</f>
        <v/>
      </c>
      <c r="F6" s="5" t="inlineStr">
        <is>
          <t>En curso</t>
        </is>
      </c>
    </row>
    <row r="7">
      <c r="A7" s="2" t="inlineStr">
        <is>
          <t>TOTAL</t>
        </is>
      </c>
      <c r="C7" s="19">
        <f>SUM(C4:C6)</f>
        <v/>
      </c>
      <c r="D7" s="19">
        <f>SUM(D4:D6)</f>
        <v/>
      </c>
      <c r="E7" s="19">
        <f>SUM(E4:E6)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ENERO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IF(DAY(DATE(PORTADA!$B$2,1,1))&lt;&gt;1,"",1)</f>
        <v/>
      </c>
      <c r="T5" s="22">
        <f>IF(DAY(DATE(PORTADA!$B$2,1,1))&lt;&gt;1,"",SUMIFS(MOVIMIENTOS!$F:$F,MOVIMIENTOS!$A:$A,DATE(PORTADA!$B$2,1,1),MOVIMIENTOS!$C:$C,T$4))</f>
        <v/>
      </c>
      <c r="U5" s="22">
        <f>IF(DAY(DATE(PORTADA!$B$2,1,1))&lt;&gt;1,"",SUMIFS(MOVIMIENTOS!$F:$F,MOVIMIENTOS!$A:$A,DATE(PORTADA!$B$2,1,1),MOVIMIENTOS!$C:$C,U$4))</f>
        <v/>
      </c>
      <c r="V5" s="22">
        <f>IF(DAY(DATE(PORTADA!$B$2,1,1))&lt;&gt;1,"",SUMIFS(MOVIMIENTOS!$F:$F,MOVIMIENTOS!$A:$A,DATE(PORTADA!$B$2,1,1),MOVIMIENTOS!$C:$C,V$4))</f>
        <v/>
      </c>
      <c r="W5" s="22">
        <f>IF(DAY(DATE(PORTADA!$B$2,1,1))&lt;&gt;1,"",SUMIFS(MOVIMIENTOS!$F:$F,MOVIMIENTOS!$A:$A,DATE(PORTADA!$B$2,1,1),MOVIMIENTOS!$C:$C,W$4))</f>
        <v/>
      </c>
      <c r="X5" s="22">
        <f>IF(DAY(DATE(PORTADA!$B$2,1,1))&lt;&gt;1,"",SUMIFS(MOVIMIENTOS!$F:$F,MOVIMIENTOS!$A:$A,DATE(PORTADA!$B$2,1,1),MOVIMIENTOS!$C:$C,X$4))</f>
        <v/>
      </c>
      <c r="Y5" s="22">
        <f>IF(DAY(DATE(PORTADA!$B$2,1,1))&lt;&gt;1,"",SUMIFS(MOVIMIENTOS!$F:$F,MOVIMIENTOS!$A:$A,DATE(PORTADA!$B$2,1,1),MOVIMIENTOS!$C:$C,Y$4))</f>
        <v/>
      </c>
      <c r="Z5" s="22">
        <f>IF(DAY(DATE(PORTADA!$B$2,1,1))&lt;&gt;1,"",SUMIFS(MOVIMIENTOS!$F:$F,MOVIMIENTOS!$A:$A,DATE(PORTADA!$B$2,1,1),MOVIMIENTOS!$C:$C,Z$4))</f>
        <v/>
      </c>
      <c r="AA5" s="22">
        <f>IF(DAY(DATE(PORTADA!$B$2,1,1))&lt;&gt;1,"",SUM(T5:Z5))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SUMIFS(MOVIMIENTOS!$F:$F,MOVIMIENTOS!$A:$A,"&gt;="&amp;DATE(PORTADA!$B$2,1,1),MOVIMIENTOS!$A:$A,"&lt;="&amp;EOMONTH(DATE(PORTADA!$B$2,1,1),0),MOVIMIENTOS!$D:$D,$B6)</f>
        <v/>
      </c>
      <c r="E6" s="8">
        <f>D6-C6</f>
        <v/>
      </c>
      <c r="F6" s="9">
        <f>IFERROR(D6/C6,"")</f>
        <v/>
      </c>
      <c r="S6" s="21">
        <f>IF(DAY(DATE(PORTADA!$B$2,1,2))&lt;&gt;2,"",2)</f>
        <v/>
      </c>
      <c r="T6" s="22">
        <f>IF(DAY(DATE(PORTADA!$B$2,1,2))&lt;&gt;2,"",SUMIFS(MOVIMIENTOS!$F:$F,MOVIMIENTOS!$A:$A,DATE(PORTADA!$B$2,1,2),MOVIMIENTOS!$C:$C,T$4))</f>
        <v/>
      </c>
      <c r="U6" s="22">
        <f>IF(DAY(DATE(PORTADA!$B$2,1,2))&lt;&gt;2,"",SUMIFS(MOVIMIENTOS!$F:$F,MOVIMIENTOS!$A:$A,DATE(PORTADA!$B$2,1,2),MOVIMIENTOS!$C:$C,U$4))</f>
        <v/>
      </c>
      <c r="V6" s="22">
        <f>IF(DAY(DATE(PORTADA!$B$2,1,2))&lt;&gt;2,"",SUMIFS(MOVIMIENTOS!$F:$F,MOVIMIENTOS!$A:$A,DATE(PORTADA!$B$2,1,2),MOVIMIENTOS!$C:$C,V$4))</f>
        <v/>
      </c>
      <c r="W6" s="22">
        <f>IF(DAY(DATE(PORTADA!$B$2,1,2))&lt;&gt;2,"",SUMIFS(MOVIMIENTOS!$F:$F,MOVIMIENTOS!$A:$A,DATE(PORTADA!$B$2,1,2),MOVIMIENTOS!$C:$C,W$4))</f>
        <v/>
      </c>
      <c r="X6" s="22">
        <f>IF(DAY(DATE(PORTADA!$B$2,1,2))&lt;&gt;2,"",SUMIFS(MOVIMIENTOS!$F:$F,MOVIMIENTOS!$A:$A,DATE(PORTADA!$B$2,1,2),MOVIMIENTOS!$C:$C,X$4))</f>
        <v/>
      </c>
      <c r="Y6" s="22">
        <f>IF(DAY(DATE(PORTADA!$B$2,1,2))&lt;&gt;2,"",SUMIFS(MOVIMIENTOS!$F:$F,MOVIMIENTOS!$A:$A,DATE(PORTADA!$B$2,1,2),MOVIMIENTOS!$C:$C,Y$4))</f>
        <v/>
      </c>
      <c r="Z6" s="22">
        <f>IF(DAY(DATE(PORTADA!$B$2,1,2))&lt;&gt;2,"",SUMIFS(MOVIMIENTOS!$F:$F,MOVIMIENTOS!$A:$A,DATE(PORTADA!$B$2,1,2),MOVIMIENTOS!$C:$C,Z$4))</f>
        <v/>
      </c>
      <c r="AA6" s="22">
        <f>IF(DAY(DATE(PORTADA!$B$2,1,2))&lt;&gt;2,"",SUM(T6:Z6))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SUMIFS(MOVIMIENTOS!$F:$F,MOVIMIENTOS!$A:$A,"&gt;="&amp;DATE(PORTADA!$B$2,1,1),MOVIMIENTOS!$A:$A,"&lt;="&amp;EOMONTH(DATE(PORTADA!$B$2,1,1),0),MOVIMIENTOS!$D:$D,$B7)</f>
        <v/>
      </c>
      <c r="E7" s="8">
        <f>D7-C7</f>
        <v/>
      </c>
      <c r="F7" s="9">
        <f>IFERROR(D7/C7,"")</f>
        <v/>
      </c>
      <c r="S7" s="21">
        <f>IF(DAY(DATE(PORTADA!$B$2,1,3))&lt;&gt;3,"",3)</f>
        <v/>
      </c>
      <c r="T7" s="22">
        <f>IF(DAY(DATE(PORTADA!$B$2,1,3))&lt;&gt;3,"",SUMIFS(MOVIMIENTOS!$F:$F,MOVIMIENTOS!$A:$A,DATE(PORTADA!$B$2,1,3),MOVIMIENTOS!$C:$C,T$4))</f>
        <v/>
      </c>
      <c r="U7" s="22">
        <f>IF(DAY(DATE(PORTADA!$B$2,1,3))&lt;&gt;3,"",SUMIFS(MOVIMIENTOS!$F:$F,MOVIMIENTOS!$A:$A,DATE(PORTADA!$B$2,1,3),MOVIMIENTOS!$C:$C,U$4))</f>
        <v/>
      </c>
      <c r="V7" s="22">
        <f>IF(DAY(DATE(PORTADA!$B$2,1,3))&lt;&gt;3,"",SUMIFS(MOVIMIENTOS!$F:$F,MOVIMIENTOS!$A:$A,DATE(PORTADA!$B$2,1,3),MOVIMIENTOS!$C:$C,V$4))</f>
        <v/>
      </c>
      <c r="W7" s="22">
        <f>IF(DAY(DATE(PORTADA!$B$2,1,3))&lt;&gt;3,"",SUMIFS(MOVIMIENTOS!$F:$F,MOVIMIENTOS!$A:$A,DATE(PORTADA!$B$2,1,3),MOVIMIENTOS!$C:$C,W$4))</f>
        <v/>
      </c>
      <c r="X7" s="22">
        <f>IF(DAY(DATE(PORTADA!$B$2,1,3))&lt;&gt;3,"",SUMIFS(MOVIMIENTOS!$F:$F,MOVIMIENTOS!$A:$A,DATE(PORTADA!$B$2,1,3),MOVIMIENTOS!$C:$C,X$4))</f>
        <v/>
      </c>
      <c r="Y7" s="22">
        <f>IF(DAY(DATE(PORTADA!$B$2,1,3))&lt;&gt;3,"",SUMIFS(MOVIMIENTOS!$F:$F,MOVIMIENTOS!$A:$A,DATE(PORTADA!$B$2,1,3),MOVIMIENTOS!$C:$C,Y$4))</f>
        <v/>
      </c>
      <c r="Z7" s="22">
        <f>IF(DAY(DATE(PORTADA!$B$2,1,3))&lt;&gt;3,"",SUMIFS(MOVIMIENTOS!$F:$F,MOVIMIENTOS!$A:$A,DATE(PORTADA!$B$2,1,3),MOVIMIENTOS!$C:$C,Z$4))</f>
        <v/>
      </c>
      <c r="AA7" s="22">
        <f>IF(DAY(DATE(PORTADA!$B$2,1,3))&lt;&gt;3,"",SUM(T7:Z7))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SUMIFS(MOVIMIENTOS!$F:$F,MOVIMIENTOS!$A:$A,"&gt;="&amp;DATE(PORTADA!$B$2,1,1),MOVIMIENTOS!$A:$A,"&lt;="&amp;EOMONTH(DATE(PORTADA!$B$2,1,1),0),MOVIMIENTOS!$D:$D,$B8)</f>
        <v/>
      </c>
      <c r="E8" s="8">
        <f>D8-C8</f>
        <v/>
      </c>
      <c r="F8" s="9">
        <f>IFERROR(D8/C8,"")</f>
        <v/>
      </c>
      <c r="S8" s="21">
        <f>IF(DAY(DATE(PORTADA!$B$2,1,4))&lt;&gt;4,"",4)</f>
        <v/>
      </c>
      <c r="T8" s="22">
        <f>IF(DAY(DATE(PORTADA!$B$2,1,4))&lt;&gt;4,"",SUMIFS(MOVIMIENTOS!$F:$F,MOVIMIENTOS!$A:$A,DATE(PORTADA!$B$2,1,4),MOVIMIENTOS!$C:$C,T$4))</f>
        <v/>
      </c>
      <c r="U8" s="22">
        <f>IF(DAY(DATE(PORTADA!$B$2,1,4))&lt;&gt;4,"",SUMIFS(MOVIMIENTOS!$F:$F,MOVIMIENTOS!$A:$A,DATE(PORTADA!$B$2,1,4),MOVIMIENTOS!$C:$C,U$4))</f>
        <v/>
      </c>
      <c r="V8" s="22">
        <f>IF(DAY(DATE(PORTADA!$B$2,1,4))&lt;&gt;4,"",SUMIFS(MOVIMIENTOS!$F:$F,MOVIMIENTOS!$A:$A,DATE(PORTADA!$B$2,1,4),MOVIMIENTOS!$C:$C,V$4))</f>
        <v/>
      </c>
      <c r="W8" s="22">
        <f>IF(DAY(DATE(PORTADA!$B$2,1,4))&lt;&gt;4,"",SUMIFS(MOVIMIENTOS!$F:$F,MOVIMIENTOS!$A:$A,DATE(PORTADA!$B$2,1,4),MOVIMIENTOS!$C:$C,W$4))</f>
        <v/>
      </c>
      <c r="X8" s="22">
        <f>IF(DAY(DATE(PORTADA!$B$2,1,4))&lt;&gt;4,"",SUMIFS(MOVIMIENTOS!$F:$F,MOVIMIENTOS!$A:$A,DATE(PORTADA!$B$2,1,4),MOVIMIENTOS!$C:$C,X$4))</f>
        <v/>
      </c>
      <c r="Y8" s="22">
        <f>IF(DAY(DATE(PORTADA!$B$2,1,4))&lt;&gt;4,"",SUMIFS(MOVIMIENTOS!$F:$F,MOVIMIENTOS!$A:$A,DATE(PORTADA!$B$2,1,4),MOVIMIENTOS!$C:$C,Y$4))</f>
        <v/>
      </c>
      <c r="Z8" s="22">
        <f>IF(DAY(DATE(PORTADA!$B$2,1,4))&lt;&gt;4,"",SUMIFS(MOVIMIENTOS!$F:$F,MOVIMIENTOS!$A:$A,DATE(PORTADA!$B$2,1,4),MOVIMIENTOS!$C:$C,Z$4))</f>
        <v/>
      </c>
      <c r="AA8" s="22">
        <f>IF(DAY(DATE(PORTADA!$B$2,1,4))&lt;&gt;4,"",SUM(T8:Z8))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SUMIFS(MOVIMIENTOS!$F:$F,MOVIMIENTOS!$A:$A,"&gt;="&amp;DATE(PORTADA!$B$2,1,1),MOVIMIENTOS!$A:$A,"&lt;="&amp;EOMONTH(DATE(PORTADA!$B$2,1,1),0),MOVIMIENTOS!$D:$D,$B9)</f>
        <v/>
      </c>
      <c r="E9" s="8">
        <f>D9-C9</f>
        <v/>
      </c>
      <c r="F9" s="9">
        <f>IFERROR(D9/C9,"")</f>
        <v/>
      </c>
      <c r="S9" s="21">
        <f>IF(DAY(DATE(PORTADA!$B$2,1,5))&lt;&gt;5,"",5)</f>
        <v/>
      </c>
      <c r="T9" s="22">
        <f>IF(DAY(DATE(PORTADA!$B$2,1,5))&lt;&gt;5,"",SUMIFS(MOVIMIENTOS!$F:$F,MOVIMIENTOS!$A:$A,DATE(PORTADA!$B$2,1,5),MOVIMIENTOS!$C:$C,T$4))</f>
        <v/>
      </c>
      <c r="U9" s="22">
        <f>IF(DAY(DATE(PORTADA!$B$2,1,5))&lt;&gt;5,"",SUMIFS(MOVIMIENTOS!$F:$F,MOVIMIENTOS!$A:$A,DATE(PORTADA!$B$2,1,5),MOVIMIENTOS!$C:$C,U$4))</f>
        <v/>
      </c>
      <c r="V9" s="22">
        <f>IF(DAY(DATE(PORTADA!$B$2,1,5))&lt;&gt;5,"",SUMIFS(MOVIMIENTOS!$F:$F,MOVIMIENTOS!$A:$A,DATE(PORTADA!$B$2,1,5),MOVIMIENTOS!$C:$C,V$4))</f>
        <v/>
      </c>
      <c r="W9" s="22">
        <f>IF(DAY(DATE(PORTADA!$B$2,1,5))&lt;&gt;5,"",SUMIFS(MOVIMIENTOS!$F:$F,MOVIMIENTOS!$A:$A,DATE(PORTADA!$B$2,1,5),MOVIMIENTOS!$C:$C,W$4))</f>
        <v/>
      </c>
      <c r="X9" s="22">
        <f>IF(DAY(DATE(PORTADA!$B$2,1,5))&lt;&gt;5,"",SUMIFS(MOVIMIENTOS!$F:$F,MOVIMIENTOS!$A:$A,DATE(PORTADA!$B$2,1,5),MOVIMIENTOS!$C:$C,X$4))</f>
        <v/>
      </c>
      <c r="Y9" s="22">
        <f>IF(DAY(DATE(PORTADA!$B$2,1,5))&lt;&gt;5,"",SUMIFS(MOVIMIENTOS!$F:$F,MOVIMIENTOS!$A:$A,DATE(PORTADA!$B$2,1,5),MOVIMIENTOS!$C:$C,Y$4))</f>
        <v/>
      </c>
      <c r="Z9" s="22">
        <f>IF(DAY(DATE(PORTADA!$B$2,1,5))&lt;&gt;5,"",SUMIFS(MOVIMIENTOS!$F:$F,MOVIMIENTOS!$A:$A,DATE(PORTADA!$B$2,1,5),MOVIMIENTOS!$C:$C,Z$4))</f>
        <v/>
      </c>
      <c r="AA9" s="22">
        <f>IF(DAY(DATE(PORTADA!$B$2,1,5))&lt;&gt;5,"",SUM(T9:Z9))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SUMIFS(MOVIMIENTOS!$F:$F,MOVIMIENTOS!$A:$A,"&gt;="&amp;DATE(PORTADA!$B$2,1,1),MOVIMIENTOS!$A:$A,"&lt;="&amp;EOMONTH(DATE(PORTADA!$B$2,1,1),0),MOVIMIENTOS!$D:$D,$B10)</f>
        <v/>
      </c>
      <c r="E10" s="8">
        <f>D10-C10</f>
        <v/>
      </c>
      <c r="F10" s="9">
        <f>IFERROR(D10/C10,"")</f>
        <v/>
      </c>
      <c r="S10" s="21">
        <f>IF(DAY(DATE(PORTADA!$B$2,1,6))&lt;&gt;6,"",6)</f>
        <v/>
      </c>
      <c r="T10" s="22">
        <f>IF(DAY(DATE(PORTADA!$B$2,1,6))&lt;&gt;6,"",SUMIFS(MOVIMIENTOS!$F:$F,MOVIMIENTOS!$A:$A,DATE(PORTADA!$B$2,1,6),MOVIMIENTOS!$C:$C,T$4))</f>
        <v/>
      </c>
      <c r="U10" s="22">
        <f>IF(DAY(DATE(PORTADA!$B$2,1,6))&lt;&gt;6,"",SUMIFS(MOVIMIENTOS!$F:$F,MOVIMIENTOS!$A:$A,DATE(PORTADA!$B$2,1,6),MOVIMIENTOS!$C:$C,U$4))</f>
        <v/>
      </c>
      <c r="V10" s="22">
        <f>IF(DAY(DATE(PORTADA!$B$2,1,6))&lt;&gt;6,"",SUMIFS(MOVIMIENTOS!$F:$F,MOVIMIENTOS!$A:$A,DATE(PORTADA!$B$2,1,6),MOVIMIENTOS!$C:$C,V$4))</f>
        <v/>
      </c>
      <c r="W10" s="22">
        <f>IF(DAY(DATE(PORTADA!$B$2,1,6))&lt;&gt;6,"",SUMIFS(MOVIMIENTOS!$F:$F,MOVIMIENTOS!$A:$A,DATE(PORTADA!$B$2,1,6),MOVIMIENTOS!$C:$C,W$4))</f>
        <v/>
      </c>
      <c r="X10" s="22">
        <f>IF(DAY(DATE(PORTADA!$B$2,1,6))&lt;&gt;6,"",SUMIFS(MOVIMIENTOS!$F:$F,MOVIMIENTOS!$A:$A,DATE(PORTADA!$B$2,1,6),MOVIMIENTOS!$C:$C,X$4))</f>
        <v/>
      </c>
      <c r="Y10" s="22">
        <f>IF(DAY(DATE(PORTADA!$B$2,1,6))&lt;&gt;6,"",SUMIFS(MOVIMIENTOS!$F:$F,MOVIMIENTOS!$A:$A,DATE(PORTADA!$B$2,1,6),MOVIMIENTOS!$C:$C,Y$4))</f>
        <v/>
      </c>
      <c r="Z10" s="22">
        <f>IF(DAY(DATE(PORTADA!$B$2,1,6))&lt;&gt;6,"",SUMIFS(MOVIMIENTOS!$F:$F,MOVIMIENTOS!$A:$A,DATE(PORTADA!$B$2,1,6),MOVIMIENTOS!$C:$C,Z$4))</f>
        <v/>
      </c>
      <c r="AA10" s="22">
        <f>IF(DAY(DATE(PORTADA!$B$2,1,6))&lt;&gt;6,"",SUM(T10:Z10))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SUMIFS(MOVIMIENTOS!$F:$F,MOVIMIENTOS!$A:$A,"&gt;="&amp;DATE(PORTADA!$B$2,1,1),MOVIMIENTOS!$A:$A,"&lt;="&amp;EOMONTH(DATE(PORTADA!$B$2,1,1),0),MOVIMIENTOS!$D:$D,$B11)</f>
        <v/>
      </c>
      <c r="E11" s="8">
        <f>D11-C11</f>
        <v/>
      </c>
      <c r="F11" s="9">
        <f>IFERROR(D11/C11,"")</f>
        <v/>
      </c>
      <c r="S11" s="21">
        <f>IF(DAY(DATE(PORTADA!$B$2,1,7))&lt;&gt;7,"",7)</f>
        <v/>
      </c>
      <c r="T11" s="22">
        <f>IF(DAY(DATE(PORTADA!$B$2,1,7))&lt;&gt;7,"",SUMIFS(MOVIMIENTOS!$F:$F,MOVIMIENTOS!$A:$A,DATE(PORTADA!$B$2,1,7),MOVIMIENTOS!$C:$C,T$4))</f>
        <v/>
      </c>
      <c r="U11" s="22">
        <f>IF(DAY(DATE(PORTADA!$B$2,1,7))&lt;&gt;7,"",SUMIFS(MOVIMIENTOS!$F:$F,MOVIMIENTOS!$A:$A,DATE(PORTADA!$B$2,1,7),MOVIMIENTOS!$C:$C,U$4))</f>
        <v/>
      </c>
      <c r="V11" s="22">
        <f>IF(DAY(DATE(PORTADA!$B$2,1,7))&lt;&gt;7,"",SUMIFS(MOVIMIENTOS!$F:$F,MOVIMIENTOS!$A:$A,DATE(PORTADA!$B$2,1,7),MOVIMIENTOS!$C:$C,V$4))</f>
        <v/>
      </c>
      <c r="W11" s="22">
        <f>IF(DAY(DATE(PORTADA!$B$2,1,7))&lt;&gt;7,"",SUMIFS(MOVIMIENTOS!$F:$F,MOVIMIENTOS!$A:$A,DATE(PORTADA!$B$2,1,7),MOVIMIENTOS!$C:$C,W$4))</f>
        <v/>
      </c>
      <c r="X11" s="22">
        <f>IF(DAY(DATE(PORTADA!$B$2,1,7))&lt;&gt;7,"",SUMIFS(MOVIMIENTOS!$F:$F,MOVIMIENTOS!$A:$A,DATE(PORTADA!$B$2,1,7),MOVIMIENTOS!$C:$C,X$4))</f>
        <v/>
      </c>
      <c r="Y11" s="22">
        <f>IF(DAY(DATE(PORTADA!$B$2,1,7))&lt;&gt;7,"",SUMIFS(MOVIMIENTOS!$F:$F,MOVIMIENTOS!$A:$A,DATE(PORTADA!$B$2,1,7),MOVIMIENTOS!$C:$C,Y$4))</f>
        <v/>
      </c>
      <c r="Z11" s="22">
        <f>IF(DAY(DATE(PORTADA!$B$2,1,7))&lt;&gt;7,"",SUMIFS(MOVIMIENTOS!$F:$F,MOVIMIENTOS!$A:$A,DATE(PORTADA!$B$2,1,7),MOVIMIENTOS!$C:$C,Z$4))</f>
        <v/>
      </c>
      <c r="AA11" s="22">
        <f>IF(DAY(DATE(PORTADA!$B$2,1,7))&lt;&gt;7,"",SUM(T11:Z11))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SUMIFS(MOVIMIENTOS!$F:$F,MOVIMIENTOS!$A:$A,"&gt;="&amp;DATE(PORTADA!$B$2,1,1),MOVIMIENTOS!$A:$A,"&lt;="&amp;EOMONTH(DATE(PORTADA!$B$2,1,1),0),MOVIMIENTOS!$D:$D,$B12)</f>
        <v/>
      </c>
      <c r="E12" s="8">
        <f>D12-C12</f>
        <v/>
      </c>
      <c r="F12" s="9">
        <f>IFERROR(D12/C12,"")</f>
        <v/>
      </c>
      <c r="S12" s="21">
        <f>IF(DAY(DATE(PORTADA!$B$2,1,8))&lt;&gt;8,"",8)</f>
        <v/>
      </c>
      <c r="T12" s="22">
        <f>IF(DAY(DATE(PORTADA!$B$2,1,8))&lt;&gt;8,"",SUMIFS(MOVIMIENTOS!$F:$F,MOVIMIENTOS!$A:$A,DATE(PORTADA!$B$2,1,8),MOVIMIENTOS!$C:$C,T$4))</f>
        <v/>
      </c>
      <c r="U12" s="22">
        <f>IF(DAY(DATE(PORTADA!$B$2,1,8))&lt;&gt;8,"",SUMIFS(MOVIMIENTOS!$F:$F,MOVIMIENTOS!$A:$A,DATE(PORTADA!$B$2,1,8),MOVIMIENTOS!$C:$C,U$4))</f>
        <v/>
      </c>
      <c r="V12" s="22">
        <f>IF(DAY(DATE(PORTADA!$B$2,1,8))&lt;&gt;8,"",SUMIFS(MOVIMIENTOS!$F:$F,MOVIMIENTOS!$A:$A,DATE(PORTADA!$B$2,1,8),MOVIMIENTOS!$C:$C,V$4))</f>
        <v/>
      </c>
      <c r="W12" s="22">
        <f>IF(DAY(DATE(PORTADA!$B$2,1,8))&lt;&gt;8,"",SUMIFS(MOVIMIENTOS!$F:$F,MOVIMIENTOS!$A:$A,DATE(PORTADA!$B$2,1,8),MOVIMIENTOS!$C:$C,W$4))</f>
        <v/>
      </c>
      <c r="X12" s="22">
        <f>IF(DAY(DATE(PORTADA!$B$2,1,8))&lt;&gt;8,"",SUMIFS(MOVIMIENTOS!$F:$F,MOVIMIENTOS!$A:$A,DATE(PORTADA!$B$2,1,8),MOVIMIENTOS!$C:$C,X$4))</f>
        <v/>
      </c>
      <c r="Y12" s="22">
        <f>IF(DAY(DATE(PORTADA!$B$2,1,8))&lt;&gt;8,"",SUMIFS(MOVIMIENTOS!$F:$F,MOVIMIENTOS!$A:$A,DATE(PORTADA!$B$2,1,8),MOVIMIENTOS!$C:$C,Y$4))</f>
        <v/>
      </c>
      <c r="Z12" s="22">
        <f>IF(DAY(DATE(PORTADA!$B$2,1,8))&lt;&gt;8,"",SUMIFS(MOVIMIENTOS!$F:$F,MOVIMIENTOS!$A:$A,DATE(PORTADA!$B$2,1,8),MOVIMIENTOS!$C:$C,Z$4))</f>
        <v/>
      </c>
      <c r="AA12" s="22">
        <f>IF(DAY(DATE(PORTADA!$B$2,1,8))&lt;&gt;8,"",SUM(T12:Z12))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IF(DAY(DATE(PORTADA!$B$2,1,9))&lt;&gt;9,"",9)</f>
        <v/>
      </c>
      <c r="T13" s="22">
        <f>IF(DAY(DATE(PORTADA!$B$2,1,9))&lt;&gt;9,"",SUMIFS(MOVIMIENTOS!$F:$F,MOVIMIENTOS!$A:$A,DATE(PORTADA!$B$2,1,9),MOVIMIENTOS!$C:$C,T$4))</f>
        <v/>
      </c>
      <c r="U13" s="22">
        <f>IF(DAY(DATE(PORTADA!$B$2,1,9))&lt;&gt;9,"",SUMIFS(MOVIMIENTOS!$F:$F,MOVIMIENTOS!$A:$A,DATE(PORTADA!$B$2,1,9),MOVIMIENTOS!$C:$C,U$4))</f>
        <v/>
      </c>
      <c r="V13" s="22">
        <f>IF(DAY(DATE(PORTADA!$B$2,1,9))&lt;&gt;9,"",SUMIFS(MOVIMIENTOS!$F:$F,MOVIMIENTOS!$A:$A,DATE(PORTADA!$B$2,1,9),MOVIMIENTOS!$C:$C,V$4))</f>
        <v/>
      </c>
      <c r="W13" s="22">
        <f>IF(DAY(DATE(PORTADA!$B$2,1,9))&lt;&gt;9,"",SUMIFS(MOVIMIENTOS!$F:$F,MOVIMIENTOS!$A:$A,DATE(PORTADA!$B$2,1,9),MOVIMIENTOS!$C:$C,W$4))</f>
        <v/>
      </c>
      <c r="X13" s="22">
        <f>IF(DAY(DATE(PORTADA!$B$2,1,9))&lt;&gt;9,"",SUMIFS(MOVIMIENTOS!$F:$F,MOVIMIENTOS!$A:$A,DATE(PORTADA!$B$2,1,9),MOVIMIENTOS!$C:$C,X$4))</f>
        <v/>
      </c>
      <c r="Y13" s="22">
        <f>IF(DAY(DATE(PORTADA!$B$2,1,9))&lt;&gt;9,"",SUMIFS(MOVIMIENTOS!$F:$F,MOVIMIENTOS!$A:$A,DATE(PORTADA!$B$2,1,9),MOVIMIENTOS!$C:$C,Y$4))</f>
        <v/>
      </c>
      <c r="Z13" s="22">
        <f>IF(DAY(DATE(PORTADA!$B$2,1,9))&lt;&gt;9,"",SUMIFS(MOVIMIENTOS!$F:$F,MOVIMIENTOS!$A:$A,DATE(PORTADA!$B$2,1,9),MOVIMIENTOS!$C:$C,Z$4))</f>
        <v/>
      </c>
      <c r="AA13" s="22">
        <f>IF(DAY(DATE(PORTADA!$B$2,1,9))&lt;&gt;9,"",SUM(T13:Z13))</f>
        <v/>
      </c>
    </row>
    <row r="14">
      <c r="S14" s="21">
        <f>IF(DAY(DATE(PORTADA!$B$2,1,10))&lt;&gt;10,"",10)</f>
        <v/>
      </c>
      <c r="T14" s="22">
        <f>IF(DAY(DATE(PORTADA!$B$2,1,10))&lt;&gt;10,"",SUMIFS(MOVIMIENTOS!$F:$F,MOVIMIENTOS!$A:$A,DATE(PORTADA!$B$2,1,10),MOVIMIENTOS!$C:$C,T$4))</f>
        <v/>
      </c>
      <c r="U14" s="22">
        <f>IF(DAY(DATE(PORTADA!$B$2,1,10))&lt;&gt;10,"",SUMIFS(MOVIMIENTOS!$F:$F,MOVIMIENTOS!$A:$A,DATE(PORTADA!$B$2,1,10),MOVIMIENTOS!$C:$C,U$4))</f>
        <v/>
      </c>
      <c r="V14" s="22">
        <f>IF(DAY(DATE(PORTADA!$B$2,1,10))&lt;&gt;10,"",SUMIFS(MOVIMIENTOS!$F:$F,MOVIMIENTOS!$A:$A,DATE(PORTADA!$B$2,1,10),MOVIMIENTOS!$C:$C,V$4))</f>
        <v/>
      </c>
      <c r="W14" s="22">
        <f>IF(DAY(DATE(PORTADA!$B$2,1,10))&lt;&gt;10,"",SUMIFS(MOVIMIENTOS!$F:$F,MOVIMIENTOS!$A:$A,DATE(PORTADA!$B$2,1,10),MOVIMIENTOS!$C:$C,W$4))</f>
        <v/>
      </c>
      <c r="X14" s="22">
        <f>IF(DAY(DATE(PORTADA!$B$2,1,10))&lt;&gt;10,"",SUMIFS(MOVIMIENTOS!$F:$F,MOVIMIENTOS!$A:$A,DATE(PORTADA!$B$2,1,10),MOVIMIENTOS!$C:$C,X$4))</f>
        <v/>
      </c>
      <c r="Y14" s="22">
        <f>IF(DAY(DATE(PORTADA!$B$2,1,10))&lt;&gt;10,"",SUMIFS(MOVIMIENTOS!$F:$F,MOVIMIENTOS!$A:$A,DATE(PORTADA!$B$2,1,10),MOVIMIENTOS!$C:$C,Y$4))</f>
        <v/>
      </c>
      <c r="Z14" s="22">
        <f>IF(DAY(DATE(PORTADA!$B$2,1,10))&lt;&gt;10,"",SUMIFS(MOVIMIENTOS!$F:$F,MOVIMIENTOS!$A:$A,DATE(PORTADA!$B$2,1,10),MOVIMIENTOS!$C:$C,Z$4))</f>
        <v/>
      </c>
      <c r="AA14" s="22">
        <f>IF(DAY(DATE(PORTADA!$B$2,1,10))&lt;&gt;10,"",SUM(T14:Z14))</f>
        <v/>
      </c>
    </row>
    <row r="15">
      <c r="A15" s="2" t="inlineStr">
        <is>
          <t>EGRESOS</t>
        </is>
      </c>
      <c r="S15" s="21">
        <f>IF(DAY(DATE(PORTADA!$B$2,1,11))&lt;&gt;11,"",11)</f>
        <v/>
      </c>
      <c r="T15" s="22">
        <f>IF(DAY(DATE(PORTADA!$B$2,1,11))&lt;&gt;11,"",SUMIFS(MOVIMIENTOS!$F:$F,MOVIMIENTOS!$A:$A,DATE(PORTADA!$B$2,1,11),MOVIMIENTOS!$C:$C,T$4))</f>
        <v/>
      </c>
      <c r="U15" s="22">
        <f>IF(DAY(DATE(PORTADA!$B$2,1,11))&lt;&gt;11,"",SUMIFS(MOVIMIENTOS!$F:$F,MOVIMIENTOS!$A:$A,DATE(PORTADA!$B$2,1,11),MOVIMIENTOS!$C:$C,U$4))</f>
        <v/>
      </c>
      <c r="V15" s="22">
        <f>IF(DAY(DATE(PORTADA!$B$2,1,11))&lt;&gt;11,"",SUMIFS(MOVIMIENTOS!$F:$F,MOVIMIENTOS!$A:$A,DATE(PORTADA!$B$2,1,11),MOVIMIENTOS!$C:$C,V$4))</f>
        <v/>
      </c>
      <c r="W15" s="22">
        <f>IF(DAY(DATE(PORTADA!$B$2,1,11))&lt;&gt;11,"",SUMIFS(MOVIMIENTOS!$F:$F,MOVIMIENTOS!$A:$A,DATE(PORTADA!$B$2,1,11),MOVIMIENTOS!$C:$C,W$4))</f>
        <v/>
      </c>
      <c r="X15" s="22">
        <f>IF(DAY(DATE(PORTADA!$B$2,1,11))&lt;&gt;11,"",SUMIFS(MOVIMIENTOS!$F:$F,MOVIMIENTOS!$A:$A,DATE(PORTADA!$B$2,1,11),MOVIMIENTOS!$C:$C,X$4))</f>
        <v/>
      </c>
      <c r="Y15" s="22">
        <f>IF(DAY(DATE(PORTADA!$B$2,1,11))&lt;&gt;11,"",SUMIFS(MOVIMIENTOS!$F:$F,MOVIMIENTOS!$A:$A,DATE(PORTADA!$B$2,1,11),MOVIMIENTOS!$C:$C,Y$4))</f>
        <v/>
      </c>
      <c r="Z15" s="22">
        <f>IF(DAY(DATE(PORTADA!$B$2,1,11))&lt;&gt;11,"",SUMIFS(MOVIMIENTOS!$F:$F,MOVIMIENTOS!$A:$A,DATE(PORTADA!$B$2,1,11),MOVIMIENTOS!$C:$C,Z$4))</f>
        <v/>
      </c>
      <c r="AA15" s="22">
        <f>IF(DAY(DATE(PORTADA!$B$2,1,11))&lt;&gt;11,"",SUM(T15:Z15))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IF(DAY(DATE(PORTADA!$B$2,1,12))&lt;&gt;12,"",12)</f>
        <v/>
      </c>
      <c r="T16" s="22">
        <f>IF(DAY(DATE(PORTADA!$B$2,1,12))&lt;&gt;12,"",SUMIFS(MOVIMIENTOS!$F:$F,MOVIMIENTOS!$A:$A,DATE(PORTADA!$B$2,1,12),MOVIMIENTOS!$C:$C,T$4))</f>
        <v/>
      </c>
      <c r="U16" s="22">
        <f>IF(DAY(DATE(PORTADA!$B$2,1,12))&lt;&gt;12,"",SUMIFS(MOVIMIENTOS!$F:$F,MOVIMIENTOS!$A:$A,DATE(PORTADA!$B$2,1,12),MOVIMIENTOS!$C:$C,U$4))</f>
        <v/>
      </c>
      <c r="V16" s="22">
        <f>IF(DAY(DATE(PORTADA!$B$2,1,12))&lt;&gt;12,"",SUMIFS(MOVIMIENTOS!$F:$F,MOVIMIENTOS!$A:$A,DATE(PORTADA!$B$2,1,12),MOVIMIENTOS!$C:$C,V$4))</f>
        <v/>
      </c>
      <c r="W16" s="22">
        <f>IF(DAY(DATE(PORTADA!$B$2,1,12))&lt;&gt;12,"",SUMIFS(MOVIMIENTOS!$F:$F,MOVIMIENTOS!$A:$A,DATE(PORTADA!$B$2,1,12),MOVIMIENTOS!$C:$C,W$4))</f>
        <v/>
      </c>
      <c r="X16" s="22">
        <f>IF(DAY(DATE(PORTADA!$B$2,1,12))&lt;&gt;12,"",SUMIFS(MOVIMIENTOS!$F:$F,MOVIMIENTOS!$A:$A,DATE(PORTADA!$B$2,1,12),MOVIMIENTOS!$C:$C,X$4))</f>
        <v/>
      </c>
      <c r="Y16" s="22">
        <f>IF(DAY(DATE(PORTADA!$B$2,1,12))&lt;&gt;12,"",SUMIFS(MOVIMIENTOS!$F:$F,MOVIMIENTOS!$A:$A,DATE(PORTADA!$B$2,1,12),MOVIMIENTOS!$C:$C,Y$4))</f>
        <v/>
      </c>
      <c r="Z16" s="22">
        <f>IF(DAY(DATE(PORTADA!$B$2,1,12))&lt;&gt;12,"",SUMIFS(MOVIMIENTOS!$F:$F,MOVIMIENTOS!$A:$A,DATE(PORTADA!$B$2,1,12),MOVIMIENTOS!$C:$C,Z$4))</f>
        <v/>
      </c>
      <c r="AA16" s="22">
        <f>IF(DAY(DATE(PORTADA!$B$2,1,12))&lt;&gt;12,"",SUM(T16:Z16))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SUMIFS(MOVIMIENTOS!$F:$F,MOVIMIENTOS!$A:$A,"&gt;="&amp;DATE(PORTADA!$B$2,1,1),MOVIMIENTOS!$A:$A,"&lt;="&amp;EOMONTH(DATE(PORTADA!$B$2,1,1),0),MOVIMIENTOS!$D:$D,$B17)</f>
        <v/>
      </c>
      <c r="E17" s="8">
        <f>C17-D17</f>
        <v/>
      </c>
      <c r="F17" s="9">
        <f>IFERROR(D17/C17,"")</f>
        <v/>
      </c>
      <c r="S17" s="21">
        <f>IF(DAY(DATE(PORTADA!$B$2,1,13))&lt;&gt;13,"",13)</f>
        <v/>
      </c>
      <c r="T17" s="22">
        <f>IF(DAY(DATE(PORTADA!$B$2,1,13))&lt;&gt;13,"",SUMIFS(MOVIMIENTOS!$F:$F,MOVIMIENTOS!$A:$A,DATE(PORTADA!$B$2,1,13),MOVIMIENTOS!$C:$C,T$4))</f>
        <v/>
      </c>
      <c r="U17" s="22">
        <f>IF(DAY(DATE(PORTADA!$B$2,1,13))&lt;&gt;13,"",SUMIFS(MOVIMIENTOS!$F:$F,MOVIMIENTOS!$A:$A,DATE(PORTADA!$B$2,1,13),MOVIMIENTOS!$C:$C,U$4))</f>
        <v/>
      </c>
      <c r="V17" s="22">
        <f>IF(DAY(DATE(PORTADA!$B$2,1,13))&lt;&gt;13,"",SUMIFS(MOVIMIENTOS!$F:$F,MOVIMIENTOS!$A:$A,DATE(PORTADA!$B$2,1,13),MOVIMIENTOS!$C:$C,V$4))</f>
        <v/>
      </c>
      <c r="W17" s="22">
        <f>IF(DAY(DATE(PORTADA!$B$2,1,13))&lt;&gt;13,"",SUMIFS(MOVIMIENTOS!$F:$F,MOVIMIENTOS!$A:$A,DATE(PORTADA!$B$2,1,13),MOVIMIENTOS!$C:$C,W$4))</f>
        <v/>
      </c>
      <c r="X17" s="22">
        <f>IF(DAY(DATE(PORTADA!$B$2,1,13))&lt;&gt;13,"",SUMIFS(MOVIMIENTOS!$F:$F,MOVIMIENTOS!$A:$A,DATE(PORTADA!$B$2,1,13),MOVIMIENTOS!$C:$C,X$4))</f>
        <v/>
      </c>
      <c r="Y17" s="22">
        <f>IF(DAY(DATE(PORTADA!$B$2,1,13))&lt;&gt;13,"",SUMIFS(MOVIMIENTOS!$F:$F,MOVIMIENTOS!$A:$A,DATE(PORTADA!$B$2,1,13),MOVIMIENTOS!$C:$C,Y$4))</f>
        <v/>
      </c>
      <c r="Z17" s="22">
        <f>IF(DAY(DATE(PORTADA!$B$2,1,13))&lt;&gt;13,"",SUMIFS(MOVIMIENTOS!$F:$F,MOVIMIENTOS!$A:$A,DATE(PORTADA!$B$2,1,13),MOVIMIENTOS!$C:$C,Z$4))</f>
        <v/>
      </c>
      <c r="AA17" s="22">
        <f>IF(DAY(DATE(PORTADA!$B$2,1,13))&lt;&gt;13,"",SUM(T17:Z17))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SUMIFS(MOVIMIENTOS!$F:$F,MOVIMIENTOS!$A:$A,"&gt;="&amp;DATE(PORTADA!$B$2,1,1),MOVIMIENTOS!$A:$A,"&lt;="&amp;EOMONTH(DATE(PORTADA!$B$2,1,1),0),MOVIMIENTOS!$D:$D,$B18)</f>
        <v/>
      </c>
      <c r="E18" s="8">
        <f>C18-D18</f>
        <v/>
      </c>
      <c r="F18" s="9">
        <f>IFERROR(D18/C18,"")</f>
        <v/>
      </c>
      <c r="S18" s="21">
        <f>IF(DAY(DATE(PORTADA!$B$2,1,14))&lt;&gt;14,"",14)</f>
        <v/>
      </c>
      <c r="T18" s="22">
        <f>IF(DAY(DATE(PORTADA!$B$2,1,14))&lt;&gt;14,"",SUMIFS(MOVIMIENTOS!$F:$F,MOVIMIENTOS!$A:$A,DATE(PORTADA!$B$2,1,14),MOVIMIENTOS!$C:$C,T$4))</f>
        <v/>
      </c>
      <c r="U18" s="22">
        <f>IF(DAY(DATE(PORTADA!$B$2,1,14))&lt;&gt;14,"",SUMIFS(MOVIMIENTOS!$F:$F,MOVIMIENTOS!$A:$A,DATE(PORTADA!$B$2,1,14),MOVIMIENTOS!$C:$C,U$4))</f>
        <v/>
      </c>
      <c r="V18" s="22">
        <f>IF(DAY(DATE(PORTADA!$B$2,1,14))&lt;&gt;14,"",SUMIFS(MOVIMIENTOS!$F:$F,MOVIMIENTOS!$A:$A,DATE(PORTADA!$B$2,1,14),MOVIMIENTOS!$C:$C,V$4))</f>
        <v/>
      </c>
      <c r="W18" s="22">
        <f>IF(DAY(DATE(PORTADA!$B$2,1,14))&lt;&gt;14,"",SUMIFS(MOVIMIENTOS!$F:$F,MOVIMIENTOS!$A:$A,DATE(PORTADA!$B$2,1,14),MOVIMIENTOS!$C:$C,W$4))</f>
        <v/>
      </c>
      <c r="X18" s="22">
        <f>IF(DAY(DATE(PORTADA!$B$2,1,14))&lt;&gt;14,"",SUMIFS(MOVIMIENTOS!$F:$F,MOVIMIENTOS!$A:$A,DATE(PORTADA!$B$2,1,14),MOVIMIENTOS!$C:$C,X$4))</f>
        <v/>
      </c>
      <c r="Y18" s="22">
        <f>IF(DAY(DATE(PORTADA!$B$2,1,14))&lt;&gt;14,"",SUMIFS(MOVIMIENTOS!$F:$F,MOVIMIENTOS!$A:$A,DATE(PORTADA!$B$2,1,14),MOVIMIENTOS!$C:$C,Y$4))</f>
        <v/>
      </c>
      <c r="Z18" s="22">
        <f>IF(DAY(DATE(PORTADA!$B$2,1,14))&lt;&gt;14,"",SUMIFS(MOVIMIENTOS!$F:$F,MOVIMIENTOS!$A:$A,DATE(PORTADA!$B$2,1,14),MOVIMIENTOS!$C:$C,Z$4))</f>
        <v/>
      </c>
      <c r="AA18" s="22">
        <f>IF(DAY(DATE(PORTADA!$B$2,1,14))&lt;&gt;14,"",SUM(T18:Z18))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SUMIFS(MOVIMIENTOS!$F:$F,MOVIMIENTOS!$A:$A,"&gt;="&amp;DATE(PORTADA!$B$2,1,1),MOVIMIENTOS!$A:$A,"&lt;="&amp;EOMONTH(DATE(PORTADA!$B$2,1,1),0),MOVIMIENTOS!$D:$D,$B19)</f>
        <v/>
      </c>
      <c r="E19" s="8">
        <f>C19-D19</f>
        <v/>
      </c>
      <c r="F19" s="9">
        <f>IFERROR(D19/C19,"")</f>
        <v/>
      </c>
      <c r="S19" s="21">
        <f>IF(DAY(DATE(PORTADA!$B$2,1,15))&lt;&gt;15,"",15)</f>
        <v/>
      </c>
      <c r="T19" s="22">
        <f>IF(DAY(DATE(PORTADA!$B$2,1,15))&lt;&gt;15,"",SUMIFS(MOVIMIENTOS!$F:$F,MOVIMIENTOS!$A:$A,DATE(PORTADA!$B$2,1,15),MOVIMIENTOS!$C:$C,T$4))</f>
        <v/>
      </c>
      <c r="U19" s="22">
        <f>IF(DAY(DATE(PORTADA!$B$2,1,15))&lt;&gt;15,"",SUMIFS(MOVIMIENTOS!$F:$F,MOVIMIENTOS!$A:$A,DATE(PORTADA!$B$2,1,15),MOVIMIENTOS!$C:$C,U$4))</f>
        <v/>
      </c>
      <c r="V19" s="22">
        <f>IF(DAY(DATE(PORTADA!$B$2,1,15))&lt;&gt;15,"",SUMIFS(MOVIMIENTOS!$F:$F,MOVIMIENTOS!$A:$A,DATE(PORTADA!$B$2,1,15),MOVIMIENTOS!$C:$C,V$4))</f>
        <v/>
      </c>
      <c r="W19" s="22">
        <f>IF(DAY(DATE(PORTADA!$B$2,1,15))&lt;&gt;15,"",SUMIFS(MOVIMIENTOS!$F:$F,MOVIMIENTOS!$A:$A,DATE(PORTADA!$B$2,1,15),MOVIMIENTOS!$C:$C,W$4))</f>
        <v/>
      </c>
      <c r="X19" s="22">
        <f>IF(DAY(DATE(PORTADA!$B$2,1,15))&lt;&gt;15,"",SUMIFS(MOVIMIENTOS!$F:$F,MOVIMIENTOS!$A:$A,DATE(PORTADA!$B$2,1,15),MOVIMIENTOS!$C:$C,X$4))</f>
        <v/>
      </c>
      <c r="Y19" s="22">
        <f>IF(DAY(DATE(PORTADA!$B$2,1,15))&lt;&gt;15,"",SUMIFS(MOVIMIENTOS!$F:$F,MOVIMIENTOS!$A:$A,DATE(PORTADA!$B$2,1,15),MOVIMIENTOS!$C:$C,Y$4))</f>
        <v/>
      </c>
      <c r="Z19" s="22">
        <f>IF(DAY(DATE(PORTADA!$B$2,1,15))&lt;&gt;15,"",SUMIFS(MOVIMIENTOS!$F:$F,MOVIMIENTOS!$A:$A,DATE(PORTADA!$B$2,1,15),MOVIMIENTOS!$C:$C,Z$4))</f>
        <v/>
      </c>
      <c r="AA19" s="22">
        <f>IF(DAY(DATE(PORTADA!$B$2,1,15))&lt;&gt;15,"",SUM(T19:Z19))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SUMIFS(MOVIMIENTOS!$F:$F,MOVIMIENTOS!$A:$A,"&gt;="&amp;DATE(PORTADA!$B$2,1,1),MOVIMIENTOS!$A:$A,"&lt;="&amp;EOMONTH(DATE(PORTADA!$B$2,1,1),0),MOVIMIENTOS!$D:$D,$B20)</f>
        <v/>
      </c>
      <c r="E20" s="8">
        <f>C20-D20</f>
        <v/>
      </c>
      <c r="F20" s="9">
        <f>IFERROR(D20/C20,"")</f>
        <v/>
      </c>
      <c r="S20" s="21">
        <f>IF(DAY(DATE(PORTADA!$B$2,1,16))&lt;&gt;16,"",16)</f>
        <v/>
      </c>
      <c r="T20" s="22">
        <f>IF(DAY(DATE(PORTADA!$B$2,1,16))&lt;&gt;16,"",SUMIFS(MOVIMIENTOS!$F:$F,MOVIMIENTOS!$A:$A,DATE(PORTADA!$B$2,1,16),MOVIMIENTOS!$C:$C,T$4))</f>
        <v/>
      </c>
      <c r="U20" s="22">
        <f>IF(DAY(DATE(PORTADA!$B$2,1,16))&lt;&gt;16,"",SUMIFS(MOVIMIENTOS!$F:$F,MOVIMIENTOS!$A:$A,DATE(PORTADA!$B$2,1,16),MOVIMIENTOS!$C:$C,U$4))</f>
        <v/>
      </c>
      <c r="V20" s="22">
        <f>IF(DAY(DATE(PORTADA!$B$2,1,16))&lt;&gt;16,"",SUMIFS(MOVIMIENTOS!$F:$F,MOVIMIENTOS!$A:$A,DATE(PORTADA!$B$2,1,16),MOVIMIENTOS!$C:$C,V$4))</f>
        <v/>
      </c>
      <c r="W20" s="22">
        <f>IF(DAY(DATE(PORTADA!$B$2,1,16))&lt;&gt;16,"",SUMIFS(MOVIMIENTOS!$F:$F,MOVIMIENTOS!$A:$A,DATE(PORTADA!$B$2,1,16),MOVIMIENTOS!$C:$C,W$4))</f>
        <v/>
      </c>
      <c r="X20" s="22">
        <f>IF(DAY(DATE(PORTADA!$B$2,1,16))&lt;&gt;16,"",SUMIFS(MOVIMIENTOS!$F:$F,MOVIMIENTOS!$A:$A,DATE(PORTADA!$B$2,1,16),MOVIMIENTOS!$C:$C,X$4))</f>
        <v/>
      </c>
      <c r="Y20" s="22">
        <f>IF(DAY(DATE(PORTADA!$B$2,1,16))&lt;&gt;16,"",SUMIFS(MOVIMIENTOS!$F:$F,MOVIMIENTOS!$A:$A,DATE(PORTADA!$B$2,1,16),MOVIMIENTOS!$C:$C,Y$4))</f>
        <v/>
      </c>
      <c r="Z20" s="22">
        <f>IF(DAY(DATE(PORTADA!$B$2,1,16))&lt;&gt;16,"",SUMIFS(MOVIMIENTOS!$F:$F,MOVIMIENTOS!$A:$A,DATE(PORTADA!$B$2,1,16),MOVIMIENTOS!$C:$C,Z$4))</f>
        <v/>
      </c>
      <c r="AA20" s="22">
        <f>IF(DAY(DATE(PORTADA!$B$2,1,16))&lt;&gt;16,"",SUM(T20:Z20))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SUMIFS(MOVIMIENTOS!$F:$F,MOVIMIENTOS!$A:$A,"&gt;="&amp;DATE(PORTADA!$B$2,1,1),MOVIMIENTOS!$A:$A,"&lt;="&amp;EOMONTH(DATE(PORTADA!$B$2,1,1),0),MOVIMIENTOS!$D:$D,$B21)</f>
        <v/>
      </c>
      <c r="E21" s="8">
        <f>C21-D21</f>
        <v/>
      </c>
      <c r="F21" s="9">
        <f>IFERROR(D21/C21,"")</f>
        <v/>
      </c>
      <c r="S21" s="21">
        <f>IF(DAY(DATE(PORTADA!$B$2,1,17))&lt;&gt;17,"",17)</f>
        <v/>
      </c>
      <c r="T21" s="22">
        <f>IF(DAY(DATE(PORTADA!$B$2,1,17))&lt;&gt;17,"",SUMIFS(MOVIMIENTOS!$F:$F,MOVIMIENTOS!$A:$A,DATE(PORTADA!$B$2,1,17),MOVIMIENTOS!$C:$C,T$4))</f>
        <v/>
      </c>
      <c r="U21" s="22">
        <f>IF(DAY(DATE(PORTADA!$B$2,1,17))&lt;&gt;17,"",SUMIFS(MOVIMIENTOS!$F:$F,MOVIMIENTOS!$A:$A,DATE(PORTADA!$B$2,1,17),MOVIMIENTOS!$C:$C,U$4))</f>
        <v/>
      </c>
      <c r="V21" s="22">
        <f>IF(DAY(DATE(PORTADA!$B$2,1,17))&lt;&gt;17,"",SUMIFS(MOVIMIENTOS!$F:$F,MOVIMIENTOS!$A:$A,DATE(PORTADA!$B$2,1,17),MOVIMIENTOS!$C:$C,V$4))</f>
        <v/>
      </c>
      <c r="W21" s="22">
        <f>IF(DAY(DATE(PORTADA!$B$2,1,17))&lt;&gt;17,"",SUMIFS(MOVIMIENTOS!$F:$F,MOVIMIENTOS!$A:$A,DATE(PORTADA!$B$2,1,17),MOVIMIENTOS!$C:$C,W$4))</f>
        <v/>
      </c>
      <c r="X21" s="22">
        <f>IF(DAY(DATE(PORTADA!$B$2,1,17))&lt;&gt;17,"",SUMIFS(MOVIMIENTOS!$F:$F,MOVIMIENTOS!$A:$A,DATE(PORTADA!$B$2,1,17),MOVIMIENTOS!$C:$C,X$4))</f>
        <v/>
      </c>
      <c r="Y21" s="22">
        <f>IF(DAY(DATE(PORTADA!$B$2,1,17))&lt;&gt;17,"",SUMIFS(MOVIMIENTOS!$F:$F,MOVIMIENTOS!$A:$A,DATE(PORTADA!$B$2,1,17),MOVIMIENTOS!$C:$C,Y$4))</f>
        <v/>
      </c>
      <c r="Z21" s="22">
        <f>IF(DAY(DATE(PORTADA!$B$2,1,17))&lt;&gt;17,"",SUMIFS(MOVIMIENTOS!$F:$F,MOVIMIENTOS!$A:$A,DATE(PORTADA!$B$2,1,17),MOVIMIENTOS!$C:$C,Z$4))</f>
        <v/>
      </c>
      <c r="AA21" s="22">
        <f>IF(DAY(DATE(PORTADA!$B$2,1,17))&lt;&gt;17,"",SUM(T21:Z21))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SUMIFS(MOVIMIENTOS!$F:$F,MOVIMIENTOS!$A:$A,"&gt;="&amp;DATE(PORTADA!$B$2,1,1),MOVIMIENTOS!$A:$A,"&lt;="&amp;EOMONTH(DATE(PORTADA!$B$2,1,1),0),MOVIMIENTOS!$D:$D,$B22)</f>
        <v/>
      </c>
      <c r="E22" s="8">
        <f>C22-D22</f>
        <v/>
      </c>
      <c r="F22" s="9">
        <f>IFERROR(D22/C22,"")</f>
        <v/>
      </c>
      <c r="S22" s="21">
        <f>IF(DAY(DATE(PORTADA!$B$2,1,18))&lt;&gt;18,"",18)</f>
        <v/>
      </c>
      <c r="T22" s="22">
        <f>IF(DAY(DATE(PORTADA!$B$2,1,18))&lt;&gt;18,"",SUMIFS(MOVIMIENTOS!$F:$F,MOVIMIENTOS!$A:$A,DATE(PORTADA!$B$2,1,18),MOVIMIENTOS!$C:$C,T$4))</f>
        <v/>
      </c>
      <c r="U22" s="22">
        <f>IF(DAY(DATE(PORTADA!$B$2,1,18))&lt;&gt;18,"",SUMIFS(MOVIMIENTOS!$F:$F,MOVIMIENTOS!$A:$A,DATE(PORTADA!$B$2,1,18),MOVIMIENTOS!$C:$C,U$4))</f>
        <v/>
      </c>
      <c r="V22" s="22">
        <f>IF(DAY(DATE(PORTADA!$B$2,1,18))&lt;&gt;18,"",SUMIFS(MOVIMIENTOS!$F:$F,MOVIMIENTOS!$A:$A,DATE(PORTADA!$B$2,1,18),MOVIMIENTOS!$C:$C,V$4))</f>
        <v/>
      </c>
      <c r="W22" s="22">
        <f>IF(DAY(DATE(PORTADA!$B$2,1,18))&lt;&gt;18,"",SUMIFS(MOVIMIENTOS!$F:$F,MOVIMIENTOS!$A:$A,DATE(PORTADA!$B$2,1,18),MOVIMIENTOS!$C:$C,W$4))</f>
        <v/>
      </c>
      <c r="X22" s="22">
        <f>IF(DAY(DATE(PORTADA!$B$2,1,18))&lt;&gt;18,"",SUMIFS(MOVIMIENTOS!$F:$F,MOVIMIENTOS!$A:$A,DATE(PORTADA!$B$2,1,18),MOVIMIENTOS!$C:$C,X$4))</f>
        <v/>
      </c>
      <c r="Y22" s="22">
        <f>IF(DAY(DATE(PORTADA!$B$2,1,18))&lt;&gt;18,"",SUMIFS(MOVIMIENTOS!$F:$F,MOVIMIENTOS!$A:$A,DATE(PORTADA!$B$2,1,18),MOVIMIENTOS!$C:$C,Y$4))</f>
        <v/>
      </c>
      <c r="Z22" s="22">
        <f>IF(DAY(DATE(PORTADA!$B$2,1,18))&lt;&gt;18,"",SUMIFS(MOVIMIENTOS!$F:$F,MOVIMIENTOS!$A:$A,DATE(PORTADA!$B$2,1,18),MOVIMIENTOS!$C:$C,Z$4))</f>
        <v/>
      </c>
      <c r="AA22" s="22">
        <f>IF(DAY(DATE(PORTADA!$B$2,1,18))&lt;&gt;18,"",SUM(T22:Z22))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SUMIFS(MOVIMIENTOS!$F:$F,MOVIMIENTOS!$A:$A,"&gt;="&amp;DATE(PORTADA!$B$2,1,1),MOVIMIENTOS!$A:$A,"&lt;="&amp;EOMONTH(DATE(PORTADA!$B$2,1,1),0),MOVIMIENTOS!$D:$D,$B23)</f>
        <v/>
      </c>
      <c r="E23" s="8">
        <f>C23-D23</f>
        <v/>
      </c>
      <c r="F23" s="9">
        <f>IFERROR(D23/C23,"")</f>
        <v/>
      </c>
      <c r="S23" s="21">
        <f>IF(DAY(DATE(PORTADA!$B$2,1,19))&lt;&gt;19,"",19)</f>
        <v/>
      </c>
      <c r="T23" s="22">
        <f>IF(DAY(DATE(PORTADA!$B$2,1,19))&lt;&gt;19,"",SUMIFS(MOVIMIENTOS!$F:$F,MOVIMIENTOS!$A:$A,DATE(PORTADA!$B$2,1,19),MOVIMIENTOS!$C:$C,T$4))</f>
        <v/>
      </c>
      <c r="U23" s="22">
        <f>IF(DAY(DATE(PORTADA!$B$2,1,19))&lt;&gt;19,"",SUMIFS(MOVIMIENTOS!$F:$F,MOVIMIENTOS!$A:$A,DATE(PORTADA!$B$2,1,19),MOVIMIENTOS!$C:$C,U$4))</f>
        <v/>
      </c>
      <c r="V23" s="22">
        <f>IF(DAY(DATE(PORTADA!$B$2,1,19))&lt;&gt;19,"",SUMIFS(MOVIMIENTOS!$F:$F,MOVIMIENTOS!$A:$A,DATE(PORTADA!$B$2,1,19),MOVIMIENTOS!$C:$C,V$4))</f>
        <v/>
      </c>
      <c r="W23" s="22">
        <f>IF(DAY(DATE(PORTADA!$B$2,1,19))&lt;&gt;19,"",SUMIFS(MOVIMIENTOS!$F:$F,MOVIMIENTOS!$A:$A,DATE(PORTADA!$B$2,1,19),MOVIMIENTOS!$C:$C,W$4))</f>
        <v/>
      </c>
      <c r="X23" s="22">
        <f>IF(DAY(DATE(PORTADA!$B$2,1,19))&lt;&gt;19,"",SUMIFS(MOVIMIENTOS!$F:$F,MOVIMIENTOS!$A:$A,DATE(PORTADA!$B$2,1,19),MOVIMIENTOS!$C:$C,X$4))</f>
        <v/>
      </c>
      <c r="Y23" s="22">
        <f>IF(DAY(DATE(PORTADA!$B$2,1,19))&lt;&gt;19,"",SUMIFS(MOVIMIENTOS!$F:$F,MOVIMIENTOS!$A:$A,DATE(PORTADA!$B$2,1,19),MOVIMIENTOS!$C:$C,Y$4))</f>
        <v/>
      </c>
      <c r="Z23" s="22">
        <f>IF(DAY(DATE(PORTADA!$B$2,1,19))&lt;&gt;19,"",SUMIFS(MOVIMIENTOS!$F:$F,MOVIMIENTOS!$A:$A,DATE(PORTADA!$B$2,1,19),MOVIMIENTOS!$C:$C,Z$4))</f>
        <v/>
      </c>
      <c r="AA23" s="22">
        <f>IF(DAY(DATE(PORTADA!$B$2,1,19))&lt;&gt;19,"",SUM(T23:Z23))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SUMIFS(MOVIMIENTOS!$F:$F,MOVIMIENTOS!$A:$A,"&gt;="&amp;DATE(PORTADA!$B$2,1,1),MOVIMIENTOS!$A:$A,"&lt;="&amp;EOMONTH(DATE(PORTADA!$B$2,1,1),0),MOVIMIENTOS!$D:$D,$B24)</f>
        <v/>
      </c>
      <c r="E24" s="8">
        <f>C24-D24</f>
        <v/>
      </c>
      <c r="F24" s="9">
        <f>IFERROR(D24/C24,"")</f>
        <v/>
      </c>
      <c r="S24" s="21">
        <f>IF(DAY(DATE(PORTADA!$B$2,1,20))&lt;&gt;20,"",20)</f>
        <v/>
      </c>
      <c r="T24" s="22">
        <f>IF(DAY(DATE(PORTADA!$B$2,1,20))&lt;&gt;20,"",SUMIFS(MOVIMIENTOS!$F:$F,MOVIMIENTOS!$A:$A,DATE(PORTADA!$B$2,1,20),MOVIMIENTOS!$C:$C,T$4))</f>
        <v/>
      </c>
      <c r="U24" s="22">
        <f>IF(DAY(DATE(PORTADA!$B$2,1,20))&lt;&gt;20,"",SUMIFS(MOVIMIENTOS!$F:$F,MOVIMIENTOS!$A:$A,DATE(PORTADA!$B$2,1,20),MOVIMIENTOS!$C:$C,U$4))</f>
        <v/>
      </c>
      <c r="V24" s="22">
        <f>IF(DAY(DATE(PORTADA!$B$2,1,20))&lt;&gt;20,"",SUMIFS(MOVIMIENTOS!$F:$F,MOVIMIENTOS!$A:$A,DATE(PORTADA!$B$2,1,20),MOVIMIENTOS!$C:$C,V$4))</f>
        <v/>
      </c>
      <c r="W24" s="22">
        <f>IF(DAY(DATE(PORTADA!$B$2,1,20))&lt;&gt;20,"",SUMIFS(MOVIMIENTOS!$F:$F,MOVIMIENTOS!$A:$A,DATE(PORTADA!$B$2,1,20),MOVIMIENTOS!$C:$C,W$4))</f>
        <v/>
      </c>
      <c r="X24" s="22">
        <f>IF(DAY(DATE(PORTADA!$B$2,1,20))&lt;&gt;20,"",SUMIFS(MOVIMIENTOS!$F:$F,MOVIMIENTOS!$A:$A,DATE(PORTADA!$B$2,1,20),MOVIMIENTOS!$C:$C,X$4))</f>
        <v/>
      </c>
      <c r="Y24" s="22">
        <f>IF(DAY(DATE(PORTADA!$B$2,1,20))&lt;&gt;20,"",SUMIFS(MOVIMIENTOS!$F:$F,MOVIMIENTOS!$A:$A,DATE(PORTADA!$B$2,1,20),MOVIMIENTOS!$C:$C,Y$4))</f>
        <v/>
      </c>
      <c r="Z24" s="22">
        <f>IF(DAY(DATE(PORTADA!$B$2,1,20))&lt;&gt;20,"",SUMIFS(MOVIMIENTOS!$F:$F,MOVIMIENTOS!$A:$A,DATE(PORTADA!$B$2,1,20),MOVIMIENTOS!$C:$C,Z$4))</f>
        <v/>
      </c>
      <c r="AA24" s="22">
        <f>IF(DAY(DATE(PORTADA!$B$2,1,20))&lt;&gt;20,"",SUM(T24:Z24))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SUMIFS(MOVIMIENTOS!$F:$F,MOVIMIENTOS!$A:$A,"&gt;="&amp;DATE(PORTADA!$B$2,1,1),MOVIMIENTOS!$A:$A,"&lt;="&amp;EOMONTH(DATE(PORTADA!$B$2,1,1),0),MOVIMIENTOS!$D:$D,$B25)</f>
        <v/>
      </c>
      <c r="E25" s="8">
        <f>C25-D25</f>
        <v/>
      </c>
      <c r="F25" s="9">
        <f>IFERROR(D25/C25,"")</f>
        <v/>
      </c>
      <c r="S25" s="21">
        <f>IF(DAY(DATE(PORTADA!$B$2,1,21))&lt;&gt;21,"",21)</f>
        <v/>
      </c>
      <c r="T25" s="22">
        <f>IF(DAY(DATE(PORTADA!$B$2,1,21))&lt;&gt;21,"",SUMIFS(MOVIMIENTOS!$F:$F,MOVIMIENTOS!$A:$A,DATE(PORTADA!$B$2,1,21),MOVIMIENTOS!$C:$C,T$4))</f>
        <v/>
      </c>
      <c r="U25" s="22">
        <f>IF(DAY(DATE(PORTADA!$B$2,1,21))&lt;&gt;21,"",SUMIFS(MOVIMIENTOS!$F:$F,MOVIMIENTOS!$A:$A,DATE(PORTADA!$B$2,1,21),MOVIMIENTOS!$C:$C,U$4))</f>
        <v/>
      </c>
      <c r="V25" s="22">
        <f>IF(DAY(DATE(PORTADA!$B$2,1,21))&lt;&gt;21,"",SUMIFS(MOVIMIENTOS!$F:$F,MOVIMIENTOS!$A:$A,DATE(PORTADA!$B$2,1,21),MOVIMIENTOS!$C:$C,V$4))</f>
        <v/>
      </c>
      <c r="W25" s="22">
        <f>IF(DAY(DATE(PORTADA!$B$2,1,21))&lt;&gt;21,"",SUMIFS(MOVIMIENTOS!$F:$F,MOVIMIENTOS!$A:$A,DATE(PORTADA!$B$2,1,21),MOVIMIENTOS!$C:$C,W$4))</f>
        <v/>
      </c>
      <c r="X25" s="22">
        <f>IF(DAY(DATE(PORTADA!$B$2,1,21))&lt;&gt;21,"",SUMIFS(MOVIMIENTOS!$F:$F,MOVIMIENTOS!$A:$A,DATE(PORTADA!$B$2,1,21),MOVIMIENTOS!$C:$C,X$4))</f>
        <v/>
      </c>
      <c r="Y25" s="22">
        <f>IF(DAY(DATE(PORTADA!$B$2,1,21))&lt;&gt;21,"",SUMIFS(MOVIMIENTOS!$F:$F,MOVIMIENTOS!$A:$A,DATE(PORTADA!$B$2,1,21),MOVIMIENTOS!$C:$C,Y$4))</f>
        <v/>
      </c>
      <c r="Z25" s="22">
        <f>IF(DAY(DATE(PORTADA!$B$2,1,21))&lt;&gt;21,"",SUMIFS(MOVIMIENTOS!$F:$F,MOVIMIENTOS!$A:$A,DATE(PORTADA!$B$2,1,21),MOVIMIENTOS!$C:$C,Z$4))</f>
        <v/>
      </c>
      <c r="AA25" s="22">
        <f>IF(DAY(DATE(PORTADA!$B$2,1,21))&lt;&gt;21,"",SUM(T25:Z25))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SUMIFS(MOVIMIENTOS!$F:$F,MOVIMIENTOS!$A:$A,"&gt;="&amp;DATE(PORTADA!$B$2,1,1),MOVIMIENTOS!$A:$A,"&lt;="&amp;EOMONTH(DATE(PORTADA!$B$2,1,1),0),MOVIMIENTOS!$D:$D,$B26)</f>
        <v/>
      </c>
      <c r="E26" s="8">
        <f>C26-D26</f>
        <v/>
      </c>
      <c r="F26" s="9">
        <f>IFERROR(D26/C26,"")</f>
        <v/>
      </c>
      <c r="S26" s="21">
        <f>IF(DAY(DATE(PORTADA!$B$2,1,22))&lt;&gt;22,"",22)</f>
        <v/>
      </c>
      <c r="T26" s="22">
        <f>IF(DAY(DATE(PORTADA!$B$2,1,22))&lt;&gt;22,"",SUMIFS(MOVIMIENTOS!$F:$F,MOVIMIENTOS!$A:$A,DATE(PORTADA!$B$2,1,22),MOVIMIENTOS!$C:$C,T$4))</f>
        <v/>
      </c>
      <c r="U26" s="22">
        <f>IF(DAY(DATE(PORTADA!$B$2,1,22))&lt;&gt;22,"",SUMIFS(MOVIMIENTOS!$F:$F,MOVIMIENTOS!$A:$A,DATE(PORTADA!$B$2,1,22),MOVIMIENTOS!$C:$C,U$4))</f>
        <v/>
      </c>
      <c r="V26" s="22">
        <f>IF(DAY(DATE(PORTADA!$B$2,1,22))&lt;&gt;22,"",SUMIFS(MOVIMIENTOS!$F:$F,MOVIMIENTOS!$A:$A,DATE(PORTADA!$B$2,1,22),MOVIMIENTOS!$C:$C,V$4))</f>
        <v/>
      </c>
      <c r="W26" s="22">
        <f>IF(DAY(DATE(PORTADA!$B$2,1,22))&lt;&gt;22,"",SUMIFS(MOVIMIENTOS!$F:$F,MOVIMIENTOS!$A:$A,DATE(PORTADA!$B$2,1,22),MOVIMIENTOS!$C:$C,W$4))</f>
        <v/>
      </c>
      <c r="X26" s="22">
        <f>IF(DAY(DATE(PORTADA!$B$2,1,22))&lt;&gt;22,"",SUMIFS(MOVIMIENTOS!$F:$F,MOVIMIENTOS!$A:$A,DATE(PORTADA!$B$2,1,22),MOVIMIENTOS!$C:$C,X$4))</f>
        <v/>
      </c>
      <c r="Y26" s="22">
        <f>IF(DAY(DATE(PORTADA!$B$2,1,22))&lt;&gt;22,"",SUMIFS(MOVIMIENTOS!$F:$F,MOVIMIENTOS!$A:$A,DATE(PORTADA!$B$2,1,22),MOVIMIENTOS!$C:$C,Y$4))</f>
        <v/>
      </c>
      <c r="Z26" s="22">
        <f>IF(DAY(DATE(PORTADA!$B$2,1,22))&lt;&gt;22,"",SUMIFS(MOVIMIENTOS!$F:$F,MOVIMIENTOS!$A:$A,DATE(PORTADA!$B$2,1,22),MOVIMIENTOS!$C:$C,Z$4))</f>
        <v/>
      </c>
      <c r="AA26" s="22">
        <f>IF(DAY(DATE(PORTADA!$B$2,1,22))&lt;&gt;22,"",SUM(T26:Z26))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SUMIFS(MOVIMIENTOS!$F:$F,MOVIMIENTOS!$A:$A,"&gt;="&amp;DATE(PORTADA!$B$2,1,1),MOVIMIENTOS!$A:$A,"&lt;="&amp;EOMONTH(DATE(PORTADA!$B$2,1,1),0),MOVIMIENTOS!$D:$D,$B27)</f>
        <v/>
      </c>
      <c r="E27" s="8">
        <f>C27-D27</f>
        <v/>
      </c>
      <c r="F27" s="9">
        <f>IFERROR(D27/C27,"")</f>
        <v/>
      </c>
      <c r="S27" s="21">
        <f>IF(DAY(DATE(PORTADA!$B$2,1,23))&lt;&gt;23,"",23)</f>
        <v/>
      </c>
      <c r="T27" s="22">
        <f>IF(DAY(DATE(PORTADA!$B$2,1,23))&lt;&gt;23,"",SUMIFS(MOVIMIENTOS!$F:$F,MOVIMIENTOS!$A:$A,DATE(PORTADA!$B$2,1,23),MOVIMIENTOS!$C:$C,T$4))</f>
        <v/>
      </c>
      <c r="U27" s="22">
        <f>IF(DAY(DATE(PORTADA!$B$2,1,23))&lt;&gt;23,"",SUMIFS(MOVIMIENTOS!$F:$F,MOVIMIENTOS!$A:$A,DATE(PORTADA!$B$2,1,23),MOVIMIENTOS!$C:$C,U$4))</f>
        <v/>
      </c>
      <c r="V27" s="22">
        <f>IF(DAY(DATE(PORTADA!$B$2,1,23))&lt;&gt;23,"",SUMIFS(MOVIMIENTOS!$F:$F,MOVIMIENTOS!$A:$A,DATE(PORTADA!$B$2,1,23),MOVIMIENTOS!$C:$C,V$4))</f>
        <v/>
      </c>
      <c r="W27" s="22">
        <f>IF(DAY(DATE(PORTADA!$B$2,1,23))&lt;&gt;23,"",SUMIFS(MOVIMIENTOS!$F:$F,MOVIMIENTOS!$A:$A,DATE(PORTADA!$B$2,1,23),MOVIMIENTOS!$C:$C,W$4))</f>
        <v/>
      </c>
      <c r="X27" s="22">
        <f>IF(DAY(DATE(PORTADA!$B$2,1,23))&lt;&gt;23,"",SUMIFS(MOVIMIENTOS!$F:$F,MOVIMIENTOS!$A:$A,DATE(PORTADA!$B$2,1,23),MOVIMIENTOS!$C:$C,X$4))</f>
        <v/>
      </c>
      <c r="Y27" s="22">
        <f>IF(DAY(DATE(PORTADA!$B$2,1,23))&lt;&gt;23,"",SUMIFS(MOVIMIENTOS!$F:$F,MOVIMIENTOS!$A:$A,DATE(PORTADA!$B$2,1,23),MOVIMIENTOS!$C:$C,Y$4))</f>
        <v/>
      </c>
      <c r="Z27" s="22">
        <f>IF(DAY(DATE(PORTADA!$B$2,1,23))&lt;&gt;23,"",SUMIFS(MOVIMIENTOS!$F:$F,MOVIMIENTOS!$A:$A,DATE(PORTADA!$B$2,1,23),MOVIMIENTOS!$C:$C,Z$4))</f>
        <v/>
      </c>
      <c r="AA27" s="22">
        <f>IF(DAY(DATE(PORTADA!$B$2,1,23))&lt;&gt;23,"",SUM(T27:Z27))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SUMIFS(MOVIMIENTOS!$F:$F,MOVIMIENTOS!$A:$A,"&gt;="&amp;DATE(PORTADA!$B$2,1,1),MOVIMIENTOS!$A:$A,"&lt;="&amp;EOMONTH(DATE(PORTADA!$B$2,1,1),0),MOVIMIENTOS!$D:$D,$B28)</f>
        <v/>
      </c>
      <c r="E28" s="8">
        <f>C28-D28</f>
        <v/>
      </c>
      <c r="F28" s="9">
        <f>IFERROR(D28/C28,"")</f>
        <v/>
      </c>
      <c r="S28" s="21">
        <f>IF(DAY(DATE(PORTADA!$B$2,1,24))&lt;&gt;24,"",24)</f>
        <v/>
      </c>
      <c r="T28" s="22">
        <f>IF(DAY(DATE(PORTADA!$B$2,1,24))&lt;&gt;24,"",SUMIFS(MOVIMIENTOS!$F:$F,MOVIMIENTOS!$A:$A,DATE(PORTADA!$B$2,1,24),MOVIMIENTOS!$C:$C,T$4))</f>
        <v/>
      </c>
      <c r="U28" s="22">
        <f>IF(DAY(DATE(PORTADA!$B$2,1,24))&lt;&gt;24,"",SUMIFS(MOVIMIENTOS!$F:$F,MOVIMIENTOS!$A:$A,DATE(PORTADA!$B$2,1,24),MOVIMIENTOS!$C:$C,U$4))</f>
        <v/>
      </c>
      <c r="V28" s="22">
        <f>IF(DAY(DATE(PORTADA!$B$2,1,24))&lt;&gt;24,"",SUMIFS(MOVIMIENTOS!$F:$F,MOVIMIENTOS!$A:$A,DATE(PORTADA!$B$2,1,24),MOVIMIENTOS!$C:$C,V$4))</f>
        <v/>
      </c>
      <c r="W28" s="22">
        <f>IF(DAY(DATE(PORTADA!$B$2,1,24))&lt;&gt;24,"",SUMIFS(MOVIMIENTOS!$F:$F,MOVIMIENTOS!$A:$A,DATE(PORTADA!$B$2,1,24),MOVIMIENTOS!$C:$C,W$4))</f>
        <v/>
      </c>
      <c r="X28" s="22">
        <f>IF(DAY(DATE(PORTADA!$B$2,1,24))&lt;&gt;24,"",SUMIFS(MOVIMIENTOS!$F:$F,MOVIMIENTOS!$A:$A,DATE(PORTADA!$B$2,1,24),MOVIMIENTOS!$C:$C,X$4))</f>
        <v/>
      </c>
      <c r="Y28" s="22">
        <f>IF(DAY(DATE(PORTADA!$B$2,1,24))&lt;&gt;24,"",SUMIFS(MOVIMIENTOS!$F:$F,MOVIMIENTOS!$A:$A,DATE(PORTADA!$B$2,1,24),MOVIMIENTOS!$C:$C,Y$4))</f>
        <v/>
      </c>
      <c r="Z28" s="22">
        <f>IF(DAY(DATE(PORTADA!$B$2,1,24))&lt;&gt;24,"",SUMIFS(MOVIMIENTOS!$F:$F,MOVIMIENTOS!$A:$A,DATE(PORTADA!$B$2,1,24),MOVIMIENTOS!$C:$C,Z$4))</f>
        <v/>
      </c>
      <c r="AA28" s="22">
        <f>IF(DAY(DATE(PORTADA!$B$2,1,24))&lt;&gt;24,"",SUM(T28:Z28))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SUMIFS(MOVIMIENTOS!$F:$F,MOVIMIENTOS!$A:$A,"&gt;="&amp;DATE(PORTADA!$B$2,1,1),MOVIMIENTOS!$A:$A,"&lt;="&amp;EOMONTH(DATE(PORTADA!$B$2,1,1),0),MOVIMIENTOS!$D:$D,$B29)</f>
        <v/>
      </c>
      <c r="E29" s="8">
        <f>C29-D29</f>
        <v/>
      </c>
      <c r="F29" s="9">
        <f>IFERROR(D29/C29,"")</f>
        <v/>
      </c>
      <c r="S29" s="21">
        <f>IF(DAY(DATE(PORTADA!$B$2,1,25))&lt;&gt;25,"",25)</f>
        <v/>
      </c>
      <c r="T29" s="22">
        <f>IF(DAY(DATE(PORTADA!$B$2,1,25))&lt;&gt;25,"",SUMIFS(MOVIMIENTOS!$F:$F,MOVIMIENTOS!$A:$A,DATE(PORTADA!$B$2,1,25),MOVIMIENTOS!$C:$C,T$4))</f>
        <v/>
      </c>
      <c r="U29" s="22">
        <f>IF(DAY(DATE(PORTADA!$B$2,1,25))&lt;&gt;25,"",SUMIFS(MOVIMIENTOS!$F:$F,MOVIMIENTOS!$A:$A,DATE(PORTADA!$B$2,1,25),MOVIMIENTOS!$C:$C,U$4))</f>
        <v/>
      </c>
      <c r="V29" s="22">
        <f>IF(DAY(DATE(PORTADA!$B$2,1,25))&lt;&gt;25,"",SUMIFS(MOVIMIENTOS!$F:$F,MOVIMIENTOS!$A:$A,DATE(PORTADA!$B$2,1,25),MOVIMIENTOS!$C:$C,V$4))</f>
        <v/>
      </c>
      <c r="W29" s="22">
        <f>IF(DAY(DATE(PORTADA!$B$2,1,25))&lt;&gt;25,"",SUMIFS(MOVIMIENTOS!$F:$F,MOVIMIENTOS!$A:$A,DATE(PORTADA!$B$2,1,25),MOVIMIENTOS!$C:$C,W$4))</f>
        <v/>
      </c>
      <c r="X29" s="22">
        <f>IF(DAY(DATE(PORTADA!$B$2,1,25))&lt;&gt;25,"",SUMIFS(MOVIMIENTOS!$F:$F,MOVIMIENTOS!$A:$A,DATE(PORTADA!$B$2,1,25),MOVIMIENTOS!$C:$C,X$4))</f>
        <v/>
      </c>
      <c r="Y29" s="22">
        <f>IF(DAY(DATE(PORTADA!$B$2,1,25))&lt;&gt;25,"",SUMIFS(MOVIMIENTOS!$F:$F,MOVIMIENTOS!$A:$A,DATE(PORTADA!$B$2,1,25),MOVIMIENTOS!$C:$C,Y$4))</f>
        <v/>
      </c>
      <c r="Z29" s="22">
        <f>IF(DAY(DATE(PORTADA!$B$2,1,25))&lt;&gt;25,"",SUMIFS(MOVIMIENTOS!$F:$F,MOVIMIENTOS!$A:$A,DATE(PORTADA!$B$2,1,25),MOVIMIENTOS!$C:$C,Z$4))</f>
        <v/>
      </c>
      <c r="AA29" s="22">
        <f>IF(DAY(DATE(PORTADA!$B$2,1,25))&lt;&gt;25,"",SUM(T29:Z29))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SUMIFS(MOVIMIENTOS!$F:$F,MOVIMIENTOS!$A:$A,"&gt;="&amp;DATE(PORTADA!$B$2,1,1),MOVIMIENTOS!$A:$A,"&lt;="&amp;EOMONTH(DATE(PORTADA!$B$2,1,1),0),MOVIMIENTOS!$D:$D,$B30)</f>
        <v/>
      </c>
      <c r="E30" s="8">
        <f>C30-D30</f>
        <v/>
      </c>
      <c r="F30" s="9">
        <f>IFERROR(D30/C30,"")</f>
        <v/>
      </c>
      <c r="S30" s="21">
        <f>IF(DAY(DATE(PORTADA!$B$2,1,26))&lt;&gt;26,"",26)</f>
        <v/>
      </c>
      <c r="T30" s="22">
        <f>IF(DAY(DATE(PORTADA!$B$2,1,26))&lt;&gt;26,"",SUMIFS(MOVIMIENTOS!$F:$F,MOVIMIENTOS!$A:$A,DATE(PORTADA!$B$2,1,26),MOVIMIENTOS!$C:$C,T$4))</f>
        <v/>
      </c>
      <c r="U30" s="22">
        <f>IF(DAY(DATE(PORTADA!$B$2,1,26))&lt;&gt;26,"",SUMIFS(MOVIMIENTOS!$F:$F,MOVIMIENTOS!$A:$A,DATE(PORTADA!$B$2,1,26),MOVIMIENTOS!$C:$C,U$4))</f>
        <v/>
      </c>
      <c r="V30" s="22">
        <f>IF(DAY(DATE(PORTADA!$B$2,1,26))&lt;&gt;26,"",SUMIFS(MOVIMIENTOS!$F:$F,MOVIMIENTOS!$A:$A,DATE(PORTADA!$B$2,1,26),MOVIMIENTOS!$C:$C,V$4))</f>
        <v/>
      </c>
      <c r="W30" s="22">
        <f>IF(DAY(DATE(PORTADA!$B$2,1,26))&lt;&gt;26,"",SUMIFS(MOVIMIENTOS!$F:$F,MOVIMIENTOS!$A:$A,DATE(PORTADA!$B$2,1,26),MOVIMIENTOS!$C:$C,W$4))</f>
        <v/>
      </c>
      <c r="X30" s="22">
        <f>IF(DAY(DATE(PORTADA!$B$2,1,26))&lt;&gt;26,"",SUMIFS(MOVIMIENTOS!$F:$F,MOVIMIENTOS!$A:$A,DATE(PORTADA!$B$2,1,26),MOVIMIENTOS!$C:$C,X$4))</f>
        <v/>
      </c>
      <c r="Y30" s="22">
        <f>IF(DAY(DATE(PORTADA!$B$2,1,26))&lt;&gt;26,"",SUMIFS(MOVIMIENTOS!$F:$F,MOVIMIENTOS!$A:$A,DATE(PORTADA!$B$2,1,26),MOVIMIENTOS!$C:$C,Y$4))</f>
        <v/>
      </c>
      <c r="Z30" s="22">
        <f>IF(DAY(DATE(PORTADA!$B$2,1,26))&lt;&gt;26,"",SUMIFS(MOVIMIENTOS!$F:$F,MOVIMIENTOS!$A:$A,DATE(PORTADA!$B$2,1,26),MOVIMIENTOS!$C:$C,Z$4))</f>
        <v/>
      </c>
      <c r="AA30" s="22">
        <f>IF(DAY(DATE(PORTADA!$B$2,1,26))&lt;&gt;26,"",SUM(T30:Z30))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SUMIFS(MOVIMIENTOS!$F:$F,MOVIMIENTOS!$A:$A,"&gt;="&amp;DATE(PORTADA!$B$2,1,1),MOVIMIENTOS!$A:$A,"&lt;="&amp;EOMONTH(DATE(PORTADA!$B$2,1,1),0),MOVIMIENTOS!$D:$D,$B31)</f>
        <v/>
      </c>
      <c r="E31" s="8">
        <f>C31-D31</f>
        <v/>
      </c>
      <c r="F31" s="9">
        <f>IFERROR(D31/C31,"")</f>
        <v/>
      </c>
      <c r="S31" s="21">
        <f>IF(DAY(DATE(PORTADA!$B$2,1,27))&lt;&gt;27,"",27)</f>
        <v/>
      </c>
      <c r="T31" s="22">
        <f>IF(DAY(DATE(PORTADA!$B$2,1,27))&lt;&gt;27,"",SUMIFS(MOVIMIENTOS!$F:$F,MOVIMIENTOS!$A:$A,DATE(PORTADA!$B$2,1,27),MOVIMIENTOS!$C:$C,T$4))</f>
        <v/>
      </c>
      <c r="U31" s="22">
        <f>IF(DAY(DATE(PORTADA!$B$2,1,27))&lt;&gt;27,"",SUMIFS(MOVIMIENTOS!$F:$F,MOVIMIENTOS!$A:$A,DATE(PORTADA!$B$2,1,27),MOVIMIENTOS!$C:$C,U$4))</f>
        <v/>
      </c>
      <c r="V31" s="22">
        <f>IF(DAY(DATE(PORTADA!$B$2,1,27))&lt;&gt;27,"",SUMIFS(MOVIMIENTOS!$F:$F,MOVIMIENTOS!$A:$A,DATE(PORTADA!$B$2,1,27),MOVIMIENTOS!$C:$C,V$4))</f>
        <v/>
      </c>
      <c r="W31" s="22">
        <f>IF(DAY(DATE(PORTADA!$B$2,1,27))&lt;&gt;27,"",SUMIFS(MOVIMIENTOS!$F:$F,MOVIMIENTOS!$A:$A,DATE(PORTADA!$B$2,1,27),MOVIMIENTOS!$C:$C,W$4))</f>
        <v/>
      </c>
      <c r="X31" s="22">
        <f>IF(DAY(DATE(PORTADA!$B$2,1,27))&lt;&gt;27,"",SUMIFS(MOVIMIENTOS!$F:$F,MOVIMIENTOS!$A:$A,DATE(PORTADA!$B$2,1,27),MOVIMIENTOS!$C:$C,X$4))</f>
        <v/>
      </c>
      <c r="Y31" s="22">
        <f>IF(DAY(DATE(PORTADA!$B$2,1,27))&lt;&gt;27,"",SUMIFS(MOVIMIENTOS!$F:$F,MOVIMIENTOS!$A:$A,DATE(PORTADA!$B$2,1,27),MOVIMIENTOS!$C:$C,Y$4))</f>
        <v/>
      </c>
      <c r="Z31" s="22">
        <f>IF(DAY(DATE(PORTADA!$B$2,1,27))&lt;&gt;27,"",SUMIFS(MOVIMIENTOS!$F:$F,MOVIMIENTOS!$A:$A,DATE(PORTADA!$B$2,1,27),MOVIMIENTOS!$C:$C,Z$4))</f>
        <v/>
      </c>
      <c r="AA31" s="22">
        <f>IF(DAY(DATE(PORTADA!$B$2,1,27))&lt;&gt;27,"",SUM(T31:Z31))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SUMIFS(MOVIMIENTOS!$F:$F,MOVIMIENTOS!$A:$A,"&gt;="&amp;DATE(PORTADA!$B$2,1,1),MOVIMIENTOS!$A:$A,"&lt;="&amp;EOMONTH(DATE(PORTADA!$B$2,1,1),0),MOVIMIENTOS!$D:$D,$B32)</f>
        <v/>
      </c>
      <c r="E32" s="8">
        <f>C32-D32</f>
        <v/>
      </c>
      <c r="F32" s="9">
        <f>IFERROR(D32/C32,"")</f>
        <v/>
      </c>
      <c r="S32" s="21">
        <f>IF(DAY(DATE(PORTADA!$B$2,1,28))&lt;&gt;28,"",28)</f>
        <v/>
      </c>
      <c r="T32" s="22">
        <f>IF(DAY(DATE(PORTADA!$B$2,1,28))&lt;&gt;28,"",SUMIFS(MOVIMIENTOS!$F:$F,MOVIMIENTOS!$A:$A,DATE(PORTADA!$B$2,1,28),MOVIMIENTOS!$C:$C,T$4))</f>
        <v/>
      </c>
      <c r="U32" s="22">
        <f>IF(DAY(DATE(PORTADA!$B$2,1,28))&lt;&gt;28,"",SUMIFS(MOVIMIENTOS!$F:$F,MOVIMIENTOS!$A:$A,DATE(PORTADA!$B$2,1,28),MOVIMIENTOS!$C:$C,U$4))</f>
        <v/>
      </c>
      <c r="V32" s="22">
        <f>IF(DAY(DATE(PORTADA!$B$2,1,28))&lt;&gt;28,"",SUMIFS(MOVIMIENTOS!$F:$F,MOVIMIENTOS!$A:$A,DATE(PORTADA!$B$2,1,28),MOVIMIENTOS!$C:$C,V$4))</f>
        <v/>
      </c>
      <c r="W32" s="22">
        <f>IF(DAY(DATE(PORTADA!$B$2,1,28))&lt;&gt;28,"",SUMIFS(MOVIMIENTOS!$F:$F,MOVIMIENTOS!$A:$A,DATE(PORTADA!$B$2,1,28),MOVIMIENTOS!$C:$C,W$4))</f>
        <v/>
      </c>
      <c r="X32" s="22">
        <f>IF(DAY(DATE(PORTADA!$B$2,1,28))&lt;&gt;28,"",SUMIFS(MOVIMIENTOS!$F:$F,MOVIMIENTOS!$A:$A,DATE(PORTADA!$B$2,1,28),MOVIMIENTOS!$C:$C,X$4))</f>
        <v/>
      </c>
      <c r="Y32" s="22">
        <f>IF(DAY(DATE(PORTADA!$B$2,1,28))&lt;&gt;28,"",SUMIFS(MOVIMIENTOS!$F:$F,MOVIMIENTOS!$A:$A,DATE(PORTADA!$B$2,1,28),MOVIMIENTOS!$C:$C,Y$4))</f>
        <v/>
      </c>
      <c r="Z32" s="22">
        <f>IF(DAY(DATE(PORTADA!$B$2,1,28))&lt;&gt;28,"",SUMIFS(MOVIMIENTOS!$F:$F,MOVIMIENTOS!$A:$A,DATE(PORTADA!$B$2,1,28),MOVIMIENTOS!$C:$C,Z$4))</f>
        <v/>
      </c>
      <c r="AA32" s="22">
        <f>IF(DAY(DATE(PORTADA!$B$2,1,28))&lt;&gt;28,"",SUM(T32:Z32))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SUMIFS(MOVIMIENTOS!$F:$F,MOVIMIENTOS!$A:$A,"&gt;="&amp;DATE(PORTADA!$B$2,1,1),MOVIMIENTOS!$A:$A,"&lt;="&amp;EOMONTH(DATE(PORTADA!$B$2,1,1),0),MOVIMIENTOS!$D:$D,$B33)</f>
        <v/>
      </c>
      <c r="E33" s="8">
        <f>C33-D33</f>
        <v/>
      </c>
      <c r="F33" s="9">
        <f>IFERROR(D33/C33,"")</f>
        <v/>
      </c>
      <c r="S33" s="21">
        <f>IF(DAY(DATE(PORTADA!$B$2,1,29))&lt;&gt;29,"",29)</f>
        <v/>
      </c>
      <c r="T33" s="22">
        <f>IF(DAY(DATE(PORTADA!$B$2,1,29))&lt;&gt;29,"",SUMIFS(MOVIMIENTOS!$F:$F,MOVIMIENTOS!$A:$A,DATE(PORTADA!$B$2,1,29),MOVIMIENTOS!$C:$C,T$4))</f>
        <v/>
      </c>
      <c r="U33" s="22">
        <f>IF(DAY(DATE(PORTADA!$B$2,1,29))&lt;&gt;29,"",SUMIFS(MOVIMIENTOS!$F:$F,MOVIMIENTOS!$A:$A,DATE(PORTADA!$B$2,1,29),MOVIMIENTOS!$C:$C,U$4))</f>
        <v/>
      </c>
      <c r="V33" s="22">
        <f>IF(DAY(DATE(PORTADA!$B$2,1,29))&lt;&gt;29,"",SUMIFS(MOVIMIENTOS!$F:$F,MOVIMIENTOS!$A:$A,DATE(PORTADA!$B$2,1,29),MOVIMIENTOS!$C:$C,V$4))</f>
        <v/>
      </c>
      <c r="W33" s="22">
        <f>IF(DAY(DATE(PORTADA!$B$2,1,29))&lt;&gt;29,"",SUMIFS(MOVIMIENTOS!$F:$F,MOVIMIENTOS!$A:$A,DATE(PORTADA!$B$2,1,29),MOVIMIENTOS!$C:$C,W$4))</f>
        <v/>
      </c>
      <c r="X33" s="22">
        <f>IF(DAY(DATE(PORTADA!$B$2,1,29))&lt;&gt;29,"",SUMIFS(MOVIMIENTOS!$F:$F,MOVIMIENTOS!$A:$A,DATE(PORTADA!$B$2,1,29),MOVIMIENTOS!$C:$C,X$4))</f>
        <v/>
      </c>
      <c r="Y33" s="22">
        <f>IF(DAY(DATE(PORTADA!$B$2,1,29))&lt;&gt;29,"",SUMIFS(MOVIMIENTOS!$F:$F,MOVIMIENTOS!$A:$A,DATE(PORTADA!$B$2,1,29),MOVIMIENTOS!$C:$C,Y$4))</f>
        <v/>
      </c>
      <c r="Z33" s="22">
        <f>IF(DAY(DATE(PORTADA!$B$2,1,29))&lt;&gt;29,"",SUMIFS(MOVIMIENTOS!$F:$F,MOVIMIENTOS!$A:$A,DATE(PORTADA!$B$2,1,29),MOVIMIENTOS!$C:$C,Z$4))</f>
        <v/>
      </c>
      <c r="AA33" s="22">
        <f>IF(DAY(DATE(PORTADA!$B$2,1,29))&lt;&gt;29,"",SUM(T33:Z33))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SUMIFS(MOVIMIENTOS!$F:$F,MOVIMIENTOS!$A:$A,"&gt;="&amp;DATE(PORTADA!$B$2,1,1),MOVIMIENTOS!$A:$A,"&lt;="&amp;EOMONTH(DATE(PORTADA!$B$2,1,1),0),MOVIMIENTOS!$D:$D,$B34)</f>
        <v/>
      </c>
      <c r="E34" s="8">
        <f>C34-D34</f>
        <v/>
      </c>
      <c r="F34" s="9">
        <f>IFERROR(D34/C34,"")</f>
        <v/>
      </c>
      <c r="S34" s="21">
        <f>IF(DAY(DATE(PORTADA!$B$2,1,30))&lt;&gt;30,"",30)</f>
        <v/>
      </c>
      <c r="T34" s="22">
        <f>IF(DAY(DATE(PORTADA!$B$2,1,30))&lt;&gt;30,"",SUMIFS(MOVIMIENTOS!$F:$F,MOVIMIENTOS!$A:$A,DATE(PORTADA!$B$2,1,30),MOVIMIENTOS!$C:$C,T$4))</f>
        <v/>
      </c>
      <c r="U34" s="22">
        <f>IF(DAY(DATE(PORTADA!$B$2,1,30))&lt;&gt;30,"",SUMIFS(MOVIMIENTOS!$F:$F,MOVIMIENTOS!$A:$A,DATE(PORTADA!$B$2,1,30),MOVIMIENTOS!$C:$C,U$4))</f>
        <v/>
      </c>
      <c r="V34" s="22">
        <f>IF(DAY(DATE(PORTADA!$B$2,1,30))&lt;&gt;30,"",SUMIFS(MOVIMIENTOS!$F:$F,MOVIMIENTOS!$A:$A,DATE(PORTADA!$B$2,1,30),MOVIMIENTOS!$C:$C,V$4))</f>
        <v/>
      </c>
      <c r="W34" s="22">
        <f>IF(DAY(DATE(PORTADA!$B$2,1,30))&lt;&gt;30,"",SUMIFS(MOVIMIENTOS!$F:$F,MOVIMIENTOS!$A:$A,DATE(PORTADA!$B$2,1,30),MOVIMIENTOS!$C:$C,W$4))</f>
        <v/>
      </c>
      <c r="X34" s="22">
        <f>IF(DAY(DATE(PORTADA!$B$2,1,30))&lt;&gt;30,"",SUMIFS(MOVIMIENTOS!$F:$F,MOVIMIENTOS!$A:$A,DATE(PORTADA!$B$2,1,30),MOVIMIENTOS!$C:$C,X$4))</f>
        <v/>
      </c>
      <c r="Y34" s="22">
        <f>IF(DAY(DATE(PORTADA!$B$2,1,30))&lt;&gt;30,"",SUMIFS(MOVIMIENTOS!$F:$F,MOVIMIENTOS!$A:$A,DATE(PORTADA!$B$2,1,30),MOVIMIENTOS!$C:$C,Y$4))</f>
        <v/>
      </c>
      <c r="Z34" s="22">
        <f>IF(DAY(DATE(PORTADA!$B$2,1,30))&lt;&gt;30,"",SUMIFS(MOVIMIENTOS!$F:$F,MOVIMIENTOS!$A:$A,DATE(PORTADA!$B$2,1,30),MOVIMIENTOS!$C:$C,Z$4))</f>
        <v/>
      </c>
      <c r="AA34" s="22">
        <f>IF(DAY(DATE(PORTADA!$B$2,1,30))&lt;&gt;30,"",SUM(T34:Z34))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SUMIFS(MOVIMIENTOS!$F:$F,MOVIMIENTOS!$A:$A,"&gt;="&amp;DATE(PORTADA!$B$2,1,1),MOVIMIENTOS!$A:$A,"&lt;="&amp;EOMONTH(DATE(PORTADA!$B$2,1,1),0),MOVIMIENTOS!$D:$D,$B35)</f>
        <v/>
      </c>
      <c r="E35" s="8">
        <f>C35-D35</f>
        <v/>
      </c>
      <c r="F35" s="9">
        <f>IFERROR(D35/C35,"")</f>
        <v/>
      </c>
      <c r="S35" s="21">
        <f>IF(DAY(DATE(PORTADA!$B$2,1,31))&lt;&gt;31,"",31)</f>
        <v/>
      </c>
      <c r="T35" s="22">
        <f>IF(DAY(DATE(PORTADA!$B$2,1,31))&lt;&gt;31,"",SUMIFS(MOVIMIENTOS!$F:$F,MOVIMIENTOS!$A:$A,DATE(PORTADA!$B$2,1,31),MOVIMIENTOS!$C:$C,T$4))</f>
        <v/>
      </c>
      <c r="U35" s="22">
        <f>IF(DAY(DATE(PORTADA!$B$2,1,31))&lt;&gt;31,"",SUMIFS(MOVIMIENTOS!$F:$F,MOVIMIENTOS!$A:$A,DATE(PORTADA!$B$2,1,31),MOVIMIENTOS!$C:$C,U$4))</f>
        <v/>
      </c>
      <c r="V35" s="22">
        <f>IF(DAY(DATE(PORTADA!$B$2,1,31))&lt;&gt;31,"",SUMIFS(MOVIMIENTOS!$F:$F,MOVIMIENTOS!$A:$A,DATE(PORTADA!$B$2,1,31),MOVIMIENTOS!$C:$C,V$4))</f>
        <v/>
      </c>
      <c r="W35" s="22">
        <f>IF(DAY(DATE(PORTADA!$B$2,1,31))&lt;&gt;31,"",SUMIFS(MOVIMIENTOS!$F:$F,MOVIMIENTOS!$A:$A,DATE(PORTADA!$B$2,1,31),MOVIMIENTOS!$C:$C,W$4))</f>
        <v/>
      </c>
      <c r="X35" s="22">
        <f>IF(DAY(DATE(PORTADA!$B$2,1,31))&lt;&gt;31,"",SUMIFS(MOVIMIENTOS!$F:$F,MOVIMIENTOS!$A:$A,DATE(PORTADA!$B$2,1,31),MOVIMIENTOS!$C:$C,X$4))</f>
        <v/>
      </c>
      <c r="Y35" s="22">
        <f>IF(DAY(DATE(PORTADA!$B$2,1,31))&lt;&gt;31,"",SUMIFS(MOVIMIENTOS!$F:$F,MOVIMIENTOS!$A:$A,DATE(PORTADA!$B$2,1,31),MOVIMIENTOS!$C:$C,Y$4))</f>
        <v/>
      </c>
      <c r="Z35" s="22">
        <f>IF(DAY(DATE(PORTADA!$B$2,1,31))&lt;&gt;31,"",SUMIFS(MOVIMIENTOS!$F:$F,MOVIMIENTOS!$A:$A,DATE(PORTADA!$B$2,1,31),MOVIMIENTOS!$C:$C,Z$4))</f>
        <v/>
      </c>
      <c r="AA35" s="22">
        <f>IF(DAY(DATE(PORTADA!$B$2,1,31))&lt;&gt;31,"",SUM(T35:Z35))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SUMIFS(MOVIMIENTOS!$F:$F,MOVIMIENTOS!$A:$A,"&gt;="&amp;DATE(PORTADA!$B$2,1,1),MOVIMIENTOS!$A:$A,"&lt;="&amp;EOMONTH(DATE(PORTADA!$B$2,1,1),0),MOVIMIENTOS!$D:$D,$B36)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SUMIFS(MOVIMIENTOS!$F:$F,MOVIMIENTOS!$A:$A,"&gt;="&amp;DATE(PORTADA!$B$2,1,1),MOVIMIENTOS!$A:$A,"&lt;="&amp;EOMONTH(DATE(PORTADA!$B$2,1,1),0),MOVIMIENTOS!$D:$D,$B37)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SUMIFS(MOVIMIENTOS!$F:$F,MOVIMIENTOS!$A:$A,"&gt;="&amp;DATE(PORTADA!$B$2,1,1),MOVIMIENTOS!$A:$A,"&lt;="&amp;EOMONTH(DATE(PORTADA!$B$2,1,1),0),MOVIMIENTOS!$D:$D,$B38)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SUMIFS(MOVIMIENTOS!$F:$F,MOVIMIENTOS!$A:$A,"&gt;="&amp;DATE(PORTADA!$B$2,1,1),MOVIMIENTOS!$A:$A,"&lt;="&amp;EOMONTH(DATE(PORTADA!$B$2,1,1),0),MOVIMIENTOS!$D:$D,$B39)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SUMIFS(MOVIMIENTOS!$F:$F,MOVIMIENTOS!$A:$A,"&gt;="&amp;DATE(PORTADA!$B$2,1,1),MOVIMIENTOS!$A:$A,"&lt;="&amp;EOMONTH(DATE(PORTADA!$B$2,1,1),0),MOVIMIENTOS!$E:$E,"GASTO")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SUMIFS(MOVIMIENTOS!$F:$F,MOVIMIENTOS!$A:$A,"&gt;="&amp;DATE(PORTADA!$B$2,1,1),MOVIMIENTOS!$A:$A,"&lt;="&amp;EOMONTH(DATE(PORTADA!$B$2,1,1),0),MOVIMIENTOS!$E:$E,"AHORRO")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SUMIFS(MOVIMIENTOS!$F:$F,MOVIMIENTOS!$A:$A,"&gt;="&amp;DATE(PORTADA!$B$2,1,1),MOVIMIENTOS!$A:$A,"&lt;="&amp;EOMONTH(DATE(PORTADA!$B$2,1,1),0),MOVIMIENTOS!$E:$E,"DEUDA")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FEBRERO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IF(DAY(DATE(PORTADA!$B$2,2,1))&lt;&gt;1,"",1)</f>
        <v/>
      </c>
      <c r="T5" s="22">
        <f>IF(DAY(DATE(PORTADA!$B$2,2,1))&lt;&gt;1,"",SUMIFS(MOVIMIENTOS!$F:$F,MOVIMIENTOS!$A:$A,DATE(PORTADA!$B$2,2,1),MOVIMIENTOS!$C:$C,T$4))</f>
        <v/>
      </c>
      <c r="U5" s="22">
        <f>IF(DAY(DATE(PORTADA!$B$2,2,1))&lt;&gt;1,"",SUMIFS(MOVIMIENTOS!$F:$F,MOVIMIENTOS!$A:$A,DATE(PORTADA!$B$2,2,1),MOVIMIENTOS!$C:$C,U$4))</f>
        <v/>
      </c>
      <c r="V5" s="22">
        <f>IF(DAY(DATE(PORTADA!$B$2,2,1))&lt;&gt;1,"",SUMIFS(MOVIMIENTOS!$F:$F,MOVIMIENTOS!$A:$A,DATE(PORTADA!$B$2,2,1),MOVIMIENTOS!$C:$C,V$4))</f>
        <v/>
      </c>
      <c r="W5" s="22">
        <f>IF(DAY(DATE(PORTADA!$B$2,2,1))&lt;&gt;1,"",SUMIFS(MOVIMIENTOS!$F:$F,MOVIMIENTOS!$A:$A,DATE(PORTADA!$B$2,2,1),MOVIMIENTOS!$C:$C,W$4))</f>
        <v/>
      </c>
      <c r="X5" s="22">
        <f>IF(DAY(DATE(PORTADA!$B$2,2,1))&lt;&gt;1,"",SUMIFS(MOVIMIENTOS!$F:$F,MOVIMIENTOS!$A:$A,DATE(PORTADA!$B$2,2,1),MOVIMIENTOS!$C:$C,X$4))</f>
        <v/>
      </c>
      <c r="Y5" s="22">
        <f>IF(DAY(DATE(PORTADA!$B$2,2,1))&lt;&gt;1,"",SUMIFS(MOVIMIENTOS!$F:$F,MOVIMIENTOS!$A:$A,DATE(PORTADA!$B$2,2,1),MOVIMIENTOS!$C:$C,Y$4))</f>
        <v/>
      </c>
      <c r="Z5" s="22">
        <f>IF(DAY(DATE(PORTADA!$B$2,2,1))&lt;&gt;1,"",SUMIFS(MOVIMIENTOS!$F:$F,MOVIMIENTOS!$A:$A,DATE(PORTADA!$B$2,2,1),MOVIMIENTOS!$C:$C,Z$4))</f>
        <v/>
      </c>
      <c r="AA5" s="22">
        <f>IF(DAY(DATE(PORTADA!$B$2,2,1))&lt;&gt;1,"",SUM(T5:Z5))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SUMIFS(MOVIMIENTOS!$F:$F,MOVIMIENTOS!$A:$A,"&gt;="&amp;DATE(PORTADA!$B$2,2,1),MOVIMIENTOS!$A:$A,"&lt;="&amp;EOMONTH(DATE(PORTADA!$B$2,2,1),0),MOVIMIENTOS!$D:$D,$B6)</f>
        <v/>
      </c>
      <c r="E6" s="8">
        <f>D6-C6</f>
        <v/>
      </c>
      <c r="F6" s="9">
        <f>IFERROR(D6/C6,"")</f>
        <v/>
      </c>
      <c r="S6" s="21">
        <f>IF(DAY(DATE(PORTADA!$B$2,2,2))&lt;&gt;2,"",2)</f>
        <v/>
      </c>
      <c r="T6" s="22">
        <f>IF(DAY(DATE(PORTADA!$B$2,2,2))&lt;&gt;2,"",SUMIFS(MOVIMIENTOS!$F:$F,MOVIMIENTOS!$A:$A,DATE(PORTADA!$B$2,2,2),MOVIMIENTOS!$C:$C,T$4))</f>
        <v/>
      </c>
      <c r="U6" s="22">
        <f>IF(DAY(DATE(PORTADA!$B$2,2,2))&lt;&gt;2,"",SUMIFS(MOVIMIENTOS!$F:$F,MOVIMIENTOS!$A:$A,DATE(PORTADA!$B$2,2,2),MOVIMIENTOS!$C:$C,U$4))</f>
        <v/>
      </c>
      <c r="V6" s="22">
        <f>IF(DAY(DATE(PORTADA!$B$2,2,2))&lt;&gt;2,"",SUMIFS(MOVIMIENTOS!$F:$F,MOVIMIENTOS!$A:$A,DATE(PORTADA!$B$2,2,2),MOVIMIENTOS!$C:$C,V$4))</f>
        <v/>
      </c>
      <c r="W6" s="22">
        <f>IF(DAY(DATE(PORTADA!$B$2,2,2))&lt;&gt;2,"",SUMIFS(MOVIMIENTOS!$F:$F,MOVIMIENTOS!$A:$A,DATE(PORTADA!$B$2,2,2),MOVIMIENTOS!$C:$C,W$4))</f>
        <v/>
      </c>
      <c r="X6" s="22">
        <f>IF(DAY(DATE(PORTADA!$B$2,2,2))&lt;&gt;2,"",SUMIFS(MOVIMIENTOS!$F:$F,MOVIMIENTOS!$A:$A,DATE(PORTADA!$B$2,2,2),MOVIMIENTOS!$C:$C,X$4))</f>
        <v/>
      </c>
      <c r="Y6" s="22">
        <f>IF(DAY(DATE(PORTADA!$B$2,2,2))&lt;&gt;2,"",SUMIFS(MOVIMIENTOS!$F:$F,MOVIMIENTOS!$A:$A,DATE(PORTADA!$B$2,2,2),MOVIMIENTOS!$C:$C,Y$4))</f>
        <v/>
      </c>
      <c r="Z6" s="22">
        <f>IF(DAY(DATE(PORTADA!$B$2,2,2))&lt;&gt;2,"",SUMIFS(MOVIMIENTOS!$F:$F,MOVIMIENTOS!$A:$A,DATE(PORTADA!$B$2,2,2),MOVIMIENTOS!$C:$C,Z$4))</f>
        <v/>
      </c>
      <c r="AA6" s="22">
        <f>IF(DAY(DATE(PORTADA!$B$2,2,2))&lt;&gt;2,"",SUM(T6:Z6))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SUMIFS(MOVIMIENTOS!$F:$F,MOVIMIENTOS!$A:$A,"&gt;="&amp;DATE(PORTADA!$B$2,2,1),MOVIMIENTOS!$A:$A,"&lt;="&amp;EOMONTH(DATE(PORTADA!$B$2,2,1),0),MOVIMIENTOS!$D:$D,$B7)</f>
        <v/>
      </c>
      <c r="E7" s="8">
        <f>D7-C7</f>
        <v/>
      </c>
      <c r="F7" s="9">
        <f>IFERROR(D7/C7,"")</f>
        <v/>
      </c>
      <c r="S7" s="21">
        <f>IF(DAY(DATE(PORTADA!$B$2,2,3))&lt;&gt;3,"",3)</f>
        <v/>
      </c>
      <c r="T7" s="22">
        <f>IF(DAY(DATE(PORTADA!$B$2,2,3))&lt;&gt;3,"",SUMIFS(MOVIMIENTOS!$F:$F,MOVIMIENTOS!$A:$A,DATE(PORTADA!$B$2,2,3),MOVIMIENTOS!$C:$C,T$4))</f>
        <v/>
      </c>
      <c r="U7" s="22">
        <f>IF(DAY(DATE(PORTADA!$B$2,2,3))&lt;&gt;3,"",SUMIFS(MOVIMIENTOS!$F:$F,MOVIMIENTOS!$A:$A,DATE(PORTADA!$B$2,2,3),MOVIMIENTOS!$C:$C,U$4))</f>
        <v/>
      </c>
      <c r="V7" s="22">
        <f>IF(DAY(DATE(PORTADA!$B$2,2,3))&lt;&gt;3,"",SUMIFS(MOVIMIENTOS!$F:$F,MOVIMIENTOS!$A:$A,DATE(PORTADA!$B$2,2,3),MOVIMIENTOS!$C:$C,V$4))</f>
        <v/>
      </c>
      <c r="W7" s="22">
        <f>IF(DAY(DATE(PORTADA!$B$2,2,3))&lt;&gt;3,"",SUMIFS(MOVIMIENTOS!$F:$F,MOVIMIENTOS!$A:$A,DATE(PORTADA!$B$2,2,3),MOVIMIENTOS!$C:$C,W$4))</f>
        <v/>
      </c>
      <c r="X7" s="22">
        <f>IF(DAY(DATE(PORTADA!$B$2,2,3))&lt;&gt;3,"",SUMIFS(MOVIMIENTOS!$F:$F,MOVIMIENTOS!$A:$A,DATE(PORTADA!$B$2,2,3),MOVIMIENTOS!$C:$C,X$4))</f>
        <v/>
      </c>
      <c r="Y7" s="22">
        <f>IF(DAY(DATE(PORTADA!$B$2,2,3))&lt;&gt;3,"",SUMIFS(MOVIMIENTOS!$F:$F,MOVIMIENTOS!$A:$A,DATE(PORTADA!$B$2,2,3),MOVIMIENTOS!$C:$C,Y$4))</f>
        <v/>
      </c>
      <c r="Z7" s="22">
        <f>IF(DAY(DATE(PORTADA!$B$2,2,3))&lt;&gt;3,"",SUMIFS(MOVIMIENTOS!$F:$F,MOVIMIENTOS!$A:$A,DATE(PORTADA!$B$2,2,3),MOVIMIENTOS!$C:$C,Z$4))</f>
        <v/>
      </c>
      <c r="AA7" s="22">
        <f>IF(DAY(DATE(PORTADA!$B$2,2,3))&lt;&gt;3,"",SUM(T7:Z7))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SUMIFS(MOVIMIENTOS!$F:$F,MOVIMIENTOS!$A:$A,"&gt;="&amp;DATE(PORTADA!$B$2,2,1),MOVIMIENTOS!$A:$A,"&lt;="&amp;EOMONTH(DATE(PORTADA!$B$2,2,1),0),MOVIMIENTOS!$D:$D,$B8)</f>
        <v/>
      </c>
      <c r="E8" s="8">
        <f>D8-C8</f>
        <v/>
      </c>
      <c r="F8" s="9">
        <f>IFERROR(D8/C8,"")</f>
        <v/>
      </c>
      <c r="S8" s="21">
        <f>IF(DAY(DATE(PORTADA!$B$2,2,4))&lt;&gt;4,"",4)</f>
        <v/>
      </c>
      <c r="T8" s="22">
        <f>IF(DAY(DATE(PORTADA!$B$2,2,4))&lt;&gt;4,"",SUMIFS(MOVIMIENTOS!$F:$F,MOVIMIENTOS!$A:$A,DATE(PORTADA!$B$2,2,4),MOVIMIENTOS!$C:$C,T$4))</f>
        <v/>
      </c>
      <c r="U8" s="22">
        <f>IF(DAY(DATE(PORTADA!$B$2,2,4))&lt;&gt;4,"",SUMIFS(MOVIMIENTOS!$F:$F,MOVIMIENTOS!$A:$A,DATE(PORTADA!$B$2,2,4),MOVIMIENTOS!$C:$C,U$4))</f>
        <v/>
      </c>
      <c r="V8" s="22">
        <f>IF(DAY(DATE(PORTADA!$B$2,2,4))&lt;&gt;4,"",SUMIFS(MOVIMIENTOS!$F:$F,MOVIMIENTOS!$A:$A,DATE(PORTADA!$B$2,2,4),MOVIMIENTOS!$C:$C,V$4))</f>
        <v/>
      </c>
      <c r="W8" s="22">
        <f>IF(DAY(DATE(PORTADA!$B$2,2,4))&lt;&gt;4,"",SUMIFS(MOVIMIENTOS!$F:$F,MOVIMIENTOS!$A:$A,DATE(PORTADA!$B$2,2,4),MOVIMIENTOS!$C:$C,W$4))</f>
        <v/>
      </c>
      <c r="X8" s="22">
        <f>IF(DAY(DATE(PORTADA!$B$2,2,4))&lt;&gt;4,"",SUMIFS(MOVIMIENTOS!$F:$F,MOVIMIENTOS!$A:$A,DATE(PORTADA!$B$2,2,4),MOVIMIENTOS!$C:$C,X$4))</f>
        <v/>
      </c>
      <c r="Y8" s="22">
        <f>IF(DAY(DATE(PORTADA!$B$2,2,4))&lt;&gt;4,"",SUMIFS(MOVIMIENTOS!$F:$F,MOVIMIENTOS!$A:$A,DATE(PORTADA!$B$2,2,4),MOVIMIENTOS!$C:$C,Y$4))</f>
        <v/>
      </c>
      <c r="Z8" s="22">
        <f>IF(DAY(DATE(PORTADA!$B$2,2,4))&lt;&gt;4,"",SUMIFS(MOVIMIENTOS!$F:$F,MOVIMIENTOS!$A:$A,DATE(PORTADA!$B$2,2,4),MOVIMIENTOS!$C:$C,Z$4))</f>
        <v/>
      </c>
      <c r="AA8" s="22">
        <f>IF(DAY(DATE(PORTADA!$B$2,2,4))&lt;&gt;4,"",SUM(T8:Z8))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SUMIFS(MOVIMIENTOS!$F:$F,MOVIMIENTOS!$A:$A,"&gt;="&amp;DATE(PORTADA!$B$2,2,1),MOVIMIENTOS!$A:$A,"&lt;="&amp;EOMONTH(DATE(PORTADA!$B$2,2,1),0),MOVIMIENTOS!$D:$D,$B9)</f>
        <v/>
      </c>
      <c r="E9" s="8">
        <f>D9-C9</f>
        <v/>
      </c>
      <c r="F9" s="9">
        <f>IFERROR(D9/C9,"")</f>
        <v/>
      </c>
      <c r="S9" s="21">
        <f>IF(DAY(DATE(PORTADA!$B$2,2,5))&lt;&gt;5,"",5)</f>
        <v/>
      </c>
      <c r="T9" s="22">
        <f>IF(DAY(DATE(PORTADA!$B$2,2,5))&lt;&gt;5,"",SUMIFS(MOVIMIENTOS!$F:$F,MOVIMIENTOS!$A:$A,DATE(PORTADA!$B$2,2,5),MOVIMIENTOS!$C:$C,T$4))</f>
        <v/>
      </c>
      <c r="U9" s="22">
        <f>IF(DAY(DATE(PORTADA!$B$2,2,5))&lt;&gt;5,"",SUMIFS(MOVIMIENTOS!$F:$F,MOVIMIENTOS!$A:$A,DATE(PORTADA!$B$2,2,5),MOVIMIENTOS!$C:$C,U$4))</f>
        <v/>
      </c>
      <c r="V9" s="22">
        <f>IF(DAY(DATE(PORTADA!$B$2,2,5))&lt;&gt;5,"",SUMIFS(MOVIMIENTOS!$F:$F,MOVIMIENTOS!$A:$A,DATE(PORTADA!$B$2,2,5),MOVIMIENTOS!$C:$C,V$4))</f>
        <v/>
      </c>
      <c r="W9" s="22">
        <f>IF(DAY(DATE(PORTADA!$B$2,2,5))&lt;&gt;5,"",SUMIFS(MOVIMIENTOS!$F:$F,MOVIMIENTOS!$A:$A,DATE(PORTADA!$B$2,2,5),MOVIMIENTOS!$C:$C,W$4))</f>
        <v/>
      </c>
      <c r="X9" s="22">
        <f>IF(DAY(DATE(PORTADA!$B$2,2,5))&lt;&gt;5,"",SUMIFS(MOVIMIENTOS!$F:$F,MOVIMIENTOS!$A:$A,DATE(PORTADA!$B$2,2,5),MOVIMIENTOS!$C:$C,X$4))</f>
        <v/>
      </c>
      <c r="Y9" s="22">
        <f>IF(DAY(DATE(PORTADA!$B$2,2,5))&lt;&gt;5,"",SUMIFS(MOVIMIENTOS!$F:$F,MOVIMIENTOS!$A:$A,DATE(PORTADA!$B$2,2,5),MOVIMIENTOS!$C:$C,Y$4))</f>
        <v/>
      </c>
      <c r="Z9" s="22">
        <f>IF(DAY(DATE(PORTADA!$B$2,2,5))&lt;&gt;5,"",SUMIFS(MOVIMIENTOS!$F:$F,MOVIMIENTOS!$A:$A,DATE(PORTADA!$B$2,2,5),MOVIMIENTOS!$C:$C,Z$4))</f>
        <v/>
      </c>
      <c r="AA9" s="22">
        <f>IF(DAY(DATE(PORTADA!$B$2,2,5))&lt;&gt;5,"",SUM(T9:Z9))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SUMIFS(MOVIMIENTOS!$F:$F,MOVIMIENTOS!$A:$A,"&gt;="&amp;DATE(PORTADA!$B$2,2,1),MOVIMIENTOS!$A:$A,"&lt;="&amp;EOMONTH(DATE(PORTADA!$B$2,2,1),0),MOVIMIENTOS!$D:$D,$B10)</f>
        <v/>
      </c>
      <c r="E10" s="8">
        <f>D10-C10</f>
        <v/>
      </c>
      <c r="F10" s="9">
        <f>IFERROR(D10/C10,"")</f>
        <v/>
      </c>
      <c r="S10" s="21">
        <f>IF(DAY(DATE(PORTADA!$B$2,2,6))&lt;&gt;6,"",6)</f>
        <v/>
      </c>
      <c r="T10" s="22">
        <f>IF(DAY(DATE(PORTADA!$B$2,2,6))&lt;&gt;6,"",SUMIFS(MOVIMIENTOS!$F:$F,MOVIMIENTOS!$A:$A,DATE(PORTADA!$B$2,2,6),MOVIMIENTOS!$C:$C,T$4))</f>
        <v/>
      </c>
      <c r="U10" s="22">
        <f>IF(DAY(DATE(PORTADA!$B$2,2,6))&lt;&gt;6,"",SUMIFS(MOVIMIENTOS!$F:$F,MOVIMIENTOS!$A:$A,DATE(PORTADA!$B$2,2,6),MOVIMIENTOS!$C:$C,U$4))</f>
        <v/>
      </c>
      <c r="V10" s="22">
        <f>IF(DAY(DATE(PORTADA!$B$2,2,6))&lt;&gt;6,"",SUMIFS(MOVIMIENTOS!$F:$F,MOVIMIENTOS!$A:$A,DATE(PORTADA!$B$2,2,6),MOVIMIENTOS!$C:$C,V$4))</f>
        <v/>
      </c>
      <c r="W10" s="22">
        <f>IF(DAY(DATE(PORTADA!$B$2,2,6))&lt;&gt;6,"",SUMIFS(MOVIMIENTOS!$F:$F,MOVIMIENTOS!$A:$A,DATE(PORTADA!$B$2,2,6),MOVIMIENTOS!$C:$C,W$4))</f>
        <v/>
      </c>
      <c r="X10" s="22">
        <f>IF(DAY(DATE(PORTADA!$B$2,2,6))&lt;&gt;6,"",SUMIFS(MOVIMIENTOS!$F:$F,MOVIMIENTOS!$A:$A,DATE(PORTADA!$B$2,2,6),MOVIMIENTOS!$C:$C,X$4))</f>
        <v/>
      </c>
      <c r="Y10" s="22">
        <f>IF(DAY(DATE(PORTADA!$B$2,2,6))&lt;&gt;6,"",SUMIFS(MOVIMIENTOS!$F:$F,MOVIMIENTOS!$A:$A,DATE(PORTADA!$B$2,2,6),MOVIMIENTOS!$C:$C,Y$4))</f>
        <v/>
      </c>
      <c r="Z10" s="22">
        <f>IF(DAY(DATE(PORTADA!$B$2,2,6))&lt;&gt;6,"",SUMIFS(MOVIMIENTOS!$F:$F,MOVIMIENTOS!$A:$A,DATE(PORTADA!$B$2,2,6),MOVIMIENTOS!$C:$C,Z$4))</f>
        <v/>
      </c>
      <c r="AA10" s="22">
        <f>IF(DAY(DATE(PORTADA!$B$2,2,6))&lt;&gt;6,"",SUM(T10:Z10))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SUMIFS(MOVIMIENTOS!$F:$F,MOVIMIENTOS!$A:$A,"&gt;="&amp;DATE(PORTADA!$B$2,2,1),MOVIMIENTOS!$A:$A,"&lt;="&amp;EOMONTH(DATE(PORTADA!$B$2,2,1),0),MOVIMIENTOS!$D:$D,$B11)</f>
        <v/>
      </c>
      <c r="E11" s="8">
        <f>D11-C11</f>
        <v/>
      </c>
      <c r="F11" s="9">
        <f>IFERROR(D11/C11,"")</f>
        <v/>
      </c>
      <c r="S11" s="21">
        <f>IF(DAY(DATE(PORTADA!$B$2,2,7))&lt;&gt;7,"",7)</f>
        <v/>
      </c>
      <c r="T11" s="22">
        <f>IF(DAY(DATE(PORTADA!$B$2,2,7))&lt;&gt;7,"",SUMIFS(MOVIMIENTOS!$F:$F,MOVIMIENTOS!$A:$A,DATE(PORTADA!$B$2,2,7),MOVIMIENTOS!$C:$C,T$4))</f>
        <v/>
      </c>
      <c r="U11" s="22">
        <f>IF(DAY(DATE(PORTADA!$B$2,2,7))&lt;&gt;7,"",SUMIFS(MOVIMIENTOS!$F:$F,MOVIMIENTOS!$A:$A,DATE(PORTADA!$B$2,2,7),MOVIMIENTOS!$C:$C,U$4))</f>
        <v/>
      </c>
      <c r="V11" s="22">
        <f>IF(DAY(DATE(PORTADA!$B$2,2,7))&lt;&gt;7,"",SUMIFS(MOVIMIENTOS!$F:$F,MOVIMIENTOS!$A:$A,DATE(PORTADA!$B$2,2,7),MOVIMIENTOS!$C:$C,V$4))</f>
        <v/>
      </c>
      <c r="W11" s="22">
        <f>IF(DAY(DATE(PORTADA!$B$2,2,7))&lt;&gt;7,"",SUMIFS(MOVIMIENTOS!$F:$F,MOVIMIENTOS!$A:$A,DATE(PORTADA!$B$2,2,7),MOVIMIENTOS!$C:$C,W$4))</f>
        <v/>
      </c>
      <c r="X11" s="22">
        <f>IF(DAY(DATE(PORTADA!$B$2,2,7))&lt;&gt;7,"",SUMIFS(MOVIMIENTOS!$F:$F,MOVIMIENTOS!$A:$A,DATE(PORTADA!$B$2,2,7),MOVIMIENTOS!$C:$C,X$4))</f>
        <v/>
      </c>
      <c r="Y11" s="22">
        <f>IF(DAY(DATE(PORTADA!$B$2,2,7))&lt;&gt;7,"",SUMIFS(MOVIMIENTOS!$F:$F,MOVIMIENTOS!$A:$A,DATE(PORTADA!$B$2,2,7),MOVIMIENTOS!$C:$C,Y$4))</f>
        <v/>
      </c>
      <c r="Z11" s="22">
        <f>IF(DAY(DATE(PORTADA!$B$2,2,7))&lt;&gt;7,"",SUMIFS(MOVIMIENTOS!$F:$F,MOVIMIENTOS!$A:$A,DATE(PORTADA!$B$2,2,7),MOVIMIENTOS!$C:$C,Z$4))</f>
        <v/>
      </c>
      <c r="AA11" s="22">
        <f>IF(DAY(DATE(PORTADA!$B$2,2,7))&lt;&gt;7,"",SUM(T11:Z11))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SUMIFS(MOVIMIENTOS!$F:$F,MOVIMIENTOS!$A:$A,"&gt;="&amp;DATE(PORTADA!$B$2,2,1),MOVIMIENTOS!$A:$A,"&lt;="&amp;EOMONTH(DATE(PORTADA!$B$2,2,1),0),MOVIMIENTOS!$D:$D,$B12)</f>
        <v/>
      </c>
      <c r="E12" s="8">
        <f>D12-C12</f>
        <v/>
      </c>
      <c r="F12" s="9">
        <f>IFERROR(D12/C12,"")</f>
        <v/>
      </c>
      <c r="S12" s="21">
        <f>IF(DAY(DATE(PORTADA!$B$2,2,8))&lt;&gt;8,"",8)</f>
        <v/>
      </c>
      <c r="T12" s="22">
        <f>IF(DAY(DATE(PORTADA!$B$2,2,8))&lt;&gt;8,"",SUMIFS(MOVIMIENTOS!$F:$F,MOVIMIENTOS!$A:$A,DATE(PORTADA!$B$2,2,8),MOVIMIENTOS!$C:$C,T$4))</f>
        <v/>
      </c>
      <c r="U12" s="22">
        <f>IF(DAY(DATE(PORTADA!$B$2,2,8))&lt;&gt;8,"",SUMIFS(MOVIMIENTOS!$F:$F,MOVIMIENTOS!$A:$A,DATE(PORTADA!$B$2,2,8),MOVIMIENTOS!$C:$C,U$4))</f>
        <v/>
      </c>
      <c r="V12" s="22">
        <f>IF(DAY(DATE(PORTADA!$B$2,2,8))&lt;&gt;8,"",SUMIFS(MOVIMIENTOS!$F:$F,MOVIMIENTOS!$A:$A,DATE(PORTADA!$B$2,2,8),MOVIMIENTOS!$C:$C,V$4))</f>
        <v/>
      </c>
      <c r="W12" s="22">
        <f>IF(DAY(DATE(PORTADA!$B$2,2,8))&lt;&gt;8,"",SUMIFS(MOVIMIENTOS!$F:$F,MOVIMIENTOS!$A:$A,DATE(PORTADA!$B$2,2,8),MOVIMIENTOS!$C:$C,W$4))</f>
        <v/>
      </c>
      <c r="X12" s="22">
        <f>IF(DAY(DATE(PORTADA!$B$2,2,8))&lt;&gt;8,"",SUMIFS(MOVIMIENTOS!$F:$F,MOVIMIENTOS!$A:$A,DATE(PORTADA!$B$2,2,8),MOVIMIENTOS!$C:$C,X$4))</f>
        <v/>
      </c>
      <c r="Y12" s="22">
        <f>IF(DAY(DATE(PORTADA!$B$2,2,8))&lt;&gt;8,"",SUMIFS(MOVIMIENTOS!$F:$F,MOVIMIENTOS!$A:$A,DATE(PORTADA!$B$2,2,8),MOVIMIENTOS!$C:$C,Y$4))</f>
        <v/>
      </c>
      <c r="Z12" s="22">
        <f>IF(DAY(DATE(PORTADA!$B$2,2,8))&lt;&gt;8,"",SUMIFS(MOVIMIENTOS!$F:$F,MOVIMIENTOS!$A:$A,DATE(PORTADA!$B$2,2,8),MOVIMIENTOS!$C:$C,Z$4))</f>
        <v/>
      </c>
      <c r="AA12" s="22">
        <f>IF(DAY(DATE(PORTADA!$B$2,2,8))&lt;&gt;8,"",SUM(T12:Z12))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IF(DAY(DATE(PORTADA!$B$2,2,9))&lt;&gt;9,"",9)</f>
        <v/>
      </c>
      <c r="T13" s="22">
        <f>IF(DAY(DATE(PORTADA!$B$2,2,9))&lt;&gt;9,"",SUMIFS(MOVIMIENTOS!$F:$F,MOVIMIENTOS!$A:$A,DATE(PORTADA!$B$2,2,9),MOVIMIENTOS!$C:$C,T$4))</f>
        <v/>
      </c>
      <c r="U13" s="22">
        <f>IF(DAY(DATE(PORTADA!$B$2,2,9))&lt;&gt;9,"",SUMIFS(MOVIMIENTOS!$F:$F,MOVIMIENTOS!$A:$A,DATE(PORTADA!$B$2,2,9),MOVIMIENTOS!$C:$C,U$4))</f>
        <v/>
      </c>
      <c r="V13" s="22">
        <f>IF(DAY(DATE(PORTADA!$B$2,2,9))&lt;&gt;9,"",SUMIFS(MOVIMIENTOS!$F:$F,MOVIMIENTOS!$A:$A,DATE(PORTADA!$B$2,2,9),MOVIMIENTOS!$C:$C,V$4))</f>
        <v/>
      </c>
      <c r="W13" s="22">
        <f>IF(DAY(DATE(PORTADA!$B$2,2,9))&lt;&gt;9,"",SUMIFS(MOVIMIENTOS!$F:$F,MOVIMIENTOS!$A:$A,DATE(PORTADA!$B$2,2,9),MOVIMIENTOS!$C:$C,W$4))</f>
        <v/>
      </c>
      <c r="X13" s="22">
        <f>IF(DAY(DATE(PORTADA!$B$2,2,9))&lt;&gt;9,"",SUMIFS(MOVIMIENTOS!$F:$F,MOVIMIENTOS!$A:$A,DATE(PORTADA!$B$2,2,9),MOVIMIENTOS!$C:$C,X$4))</f>
        <v/>
      </c>
      <c r="Y13" s="22">
        <f>IF(DAY(DATE(PORTADA!$B$2,2,9))&lt;&gt;9,"",SUMIFS(MOVIMIENTOS!$F:$F,MOVIMIENTOS!$A:$A,DATE(PORTADA!$B$2,2,9),MOVIMIENTOS!$C:$C,Y$4))</f>
        <v/>
      </c>
      <c r="Z13" s="22">
        <f>IF(DAY(DATE(PORTADA!$B$2,2,9))&lt;&gt;9,"",SUMIFS(MOVIMIENTOS!$F:$F,MOVIMIENTOS!$A:$A,DATE(PORTADA!$B$2,2,9),MOVIMIENTOS!$C:$C,Z$4))</f>
        <v/>
      </c>
      <c r="AA13" s="22">
        <f>IF(DAY(DATE(PORTADA!$B$2,2,9))&lt;&gt;9,"",SUM(T13:Z13))</f>
        <v/>
      </c>
    </row>
    <row r="14">
      <c r="S14" s="21">
        <f>IF(DAY(DATE(PORTADA!$B$2,2,10))&lt;&gt;10,"",10)</f>
        <v/>
      </c>
      <c r="T14" s="22">
        <f>IF(DAY(DATE(PORTADA!$B$2,2,10))&lt;&gt;10,"",SUMIFS(MOVIMIENTOS!$F:$F,MOVIMIENTOS!$A:$A,DATE(PORTADA!$B$2,2,10),MOVIMIENTOS!$C:$C,T$4))</f>
        <v/>
      </c>
      <c r="U14" s="22">
        <f>IF(DAY(DATE(PORTADA!$B$2,2,10))&lt;&gt;10,"",SUMIFS(MOVIMIENTOS!$F:$F,MOVIMIENTOS!$A:$A,DATE(PORTADA!$B$2,2,10),MOVIMIENTOS!$C:$C,U$4))</f>
        <v/>
      </c>
      <c r="V14" s="22">
        <f>IF(DAY(DATE(PORTADA!$B$2,2,10))&lt;&gt;10,"",SUMIFS(MOVIMIENTOS!$F:$F,MOVIMIENTOS!$A:$A,DATE(PORTADA!$B$2,2,10),MOVIMIENTOS!$C:$C,V$4))</f>
        <v/>
      </c>
      <c r="W14" s="22">
        <f>IF(DAY(DATE(PORTADA!$B$2,2,10))&lt;&gt;10,"",SUMIFS(MOVIMIENTOS!$F:$F,MOVIMIENTOS!$A:$A,DATE(PORTADA!$B$2,2,10),MOVIMIENTOS!$C:$C,W$4))</f>
        <v/>
      </c>
      <c r="X14" s="22">
        <f>IF(DAY(DATE(PORTADA!$B$2,2,10))&lt;&gt;10,"",SUMIFS(MOVIMIENTOS!$F:$F,MOVIMIENTOS!$A:$A,DATE(PORTADA!$B$2,2,10),MOVIMIENTOS!$C:$C,X$4))</f>
        <v/>
      </c>
      <c r="Y14" s="22">
        <f>IF(DAY(DATE(PORTADA!$B$2,2,10))&lt;&gt;10,"",SUMIFS(MOVIMIENTOS!$F:$F,MOVIMIENTOS!$A:$A,DATE(PORTADA!$B$2,2,10),MOVIMIENTOS!$C:$C,Y$4))</f>
        <v/>
      </c>
      <c r="Z14" s="22">
        <f>IF(DAY(DATE(PORTADA!$B$2,2,10))&lt;&gt;10,"",SUMIFS(MOVIMIENTOS!$F:$F,MOVIMIENTOS!$A:$A,DATE(PORTADA!$B$2,2,10),MOVIMIENTOS!$C:$C,Z$4))</f>
        <v/>
      </c>
      <c r="AA14" s="22">
        <f>IF(DAY(DATE(PORTADA!$B$2,2,10))&lt;&gt;10,"",SUM(T14:Z14))</f>
        <v/>
      </c>
    </row>
    <row r="15">
      <c r="A15" s="2" t="inlineStr">
        <is>
          <t>EGRESOS</t>
        </is>
      </c>
      <c r="S15" s="21">
        <f>IF(DAY(DATE(PORTADA!$B$2,2,11))&lt;&gt;11,"",11)</f>
        <v/>
      </c>
      <c r="T15" s="22">
        <f>IF(DAY(DATE(PORTADA!$B$2,2,11))&lt;&gt;11,"",SUMIFS(MOVIMIENTOS!$F:$F,MOVIMIENTOS!$A:$A,DATE(PORTADA!$B$2,2,11),MOVIMIENTOS!$C:$C,T$4))</f>
        <v/>
      </c>
      <c r="U15" s="22">
        <f>IF(DAY(DATE(PORTADA!$B$2,2,11))&lt;&gt;11,"",SUMIFS(MOVIMIENTOS!$F:$F,MOVIMIENTOS!$A:$A,DATE(PORTADA!$B$2,2,11),MOVIMIENTOS!$C:$C,U$4))</f>
        <v/>
      </c>
      <c r="V15" s="22">
        <f>IF(DAY(DATE(PORTADA!$B$2,2,11))&lt;&gt;11,"",SUMIFS(MOVIMIENTOS!$F:$F,MOVIMIENTOS!$A:$A,DATE(PORTADA!$B$2,2,11),MOVIMIENTOS!$C:$C,V$4))</f>
        <v/>
      </c>
      <c r="W15" s="22">
        <f>IF(DAY(DATE(PORTADA!$B$2,2,11))&lt;&gt;11,"",SUMIFS(MOVIMIENTOS!$F:$F,MOVIMIENTOS!$A:$A,DATE(PORTADA!$B$2,2,11),MOVIMIENTOS!$C:$C,W$4))</f>
        <v/>
      </c>
      <c r="X15" s="22">
        <f>IF(DAY(DATE(PORTADA!$B$2,2,11))&lt;&gt;11,"",SUMIFS(MOVIMIENTOS!$F:$F,MOVIMIENTOS!$A:$A,DATE(PORTADA!$B$2,2,11),MOVIMIENTOS!$C:$C,X$4))</f>
        <v/>
      </c>
      <c r="Y15" s="22">
        <f>IF(DAY(DATE(PORTADA!$B$2,2,11))&lt;&gt;11,"",SUMIFS(MOVIMIENTOS!$F:$F,MOVIMIENTOS!$A:$A,DATE(PORTADA!$B$2,2,11),MOVIMIENTOS!$C:$C,Y$4))</f>
        <v/>
      </c>
      <c r="Z15" s="22">
        <f>IF(DAY(DATE(PORTADA!$B$2,2,11))&lt;&gt;11,"",SUMIFS(MOVIMIENTOS!$F:$F,MOVIMIENTOS!$A:$A,DATE(PORTADA!$B$2,2,11),MOVIMIENTOS!$C:$C,Z$4))</f>
        <v/>
      </c>
      <c r="AA15" s="22">
        <f>IF(DAY(DATE(PORTADA!$B$2,2,11))&lt;&gt;11,"",SUM(T15:Z15))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IF(DAY(DATE(PORTADA!$B$2,2,12))&lt;&gt;12,"",12)</f>
        <v/>
      </c>
      <c r="T16" s="22">
        <f>IF(DAY(DATE(PORTADA!$B$2,2,12))&lt;&gt;12,"",SUMIFS(MOVIMIENTOS!$F:$F,MOVIMIENTOS!$A:$A,DATE(PORTADA!$B$2,2,12),MOVIMIENTOS!$C:$C,T$4))</f>
        <v/>
      </c>
      <c r="U16" s="22">
        <f>IF(DAY(DATE(PORTADA!$B$2,2,12))&lt;&gt;12,"",SUMIFS(MOVIMIENTOS!$F:$F,MOVIMIENTOS!$A:$A,DATE(PORTADA!$B$2,2,12),MOVIMIENTOS!$C:$C,U$4))</f>
        <v/>
      </c>
      <c r="V16" s="22">
        <f>IF(DAY(DATE(PORTADA!$B$2,2,12))&lt;&gt;12,"",SUMIFS(MOVIMIENTOS!$F:$F,MOVIMIENTOS!$A:$A,DATE(PORTADA!$B$2,2,12),MOVIMIENTOS!$C:$C,V$4))</f>
        <v/>
      </c>
      <c r="W16" s="22">
        <f>IF(DAY(DATE(PORTADA!$B$2,2,12))&lt;&gt;12,"",SUMIFS(MOVIMIENTOS!$F:$F,MOVIMIENTOS!$A:$A,DATE(PORTADA!$B$2,2,12),MOVIMIENTOS!$C:$C,W$4))</f>
        <v/>
      </c>
      <c r="X16" s="22">
        <f>IF(DAY(DATE(PORTADA!$B$2,2,12))&lt;&gt;12,"",SUMIFS(MOVIMIENTOS!$F:$F,MOVIMIENTOS!$A:$A,DATE(PORTADA!$B$2,2,12),MOVIMIENTOS!$C:$C,X$4))</f>
        <v/>
      </c>
      <c r="Y16" s="22">
        <f>IF(DAY(DATE(PORTADA!$B$2,2,12))&lt;&gt;12,"",SUMIFS(MOVIMIENTOS!$F:$F,MOVIMIENTOS!$A:$A,DATE(PORTADA!$B$2,2,12),MOVIMIENTOS!$C:$C,Y$4))</f>
        <v/>
      </c>
      <c r="Z16" s="22">
        <f>IF(DAY(DATE(PORTADA!$B$2,2,12))&lt;&gt;12,"",SUMIFS(MOVIMIENTOS!$F:$F,MOVIMIENTOS!$A:$A,DATE(PORTADA!$B$2,2,12),MOVIMIENTOS!$C:$C,Z$4))</f>
        <v/>
      </c>
      <c r="AA16" s="22">
        <f>IF(DAY(DATE(PORTADA!$B$2,2,12))&lt;&gt;12,"",SUM(T16:Z16))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SUMIFS(MOVIMIENTOS!$F:$F,MOVIMIENTOS!$A:$A,"&gt;="&amp;DATE(PORTADA!$B$2,2,1),MOVIMIENTOS!$A:$A,"&lt;="&amp;EOMONTH(DATE(PORTADA!$B$2,2,1),0),MOVIMIENTOS!$D:$D,$B17)</f>
        <v/>
      </c>
      <c r="E17" s="8">
        <f>C17-D17</f>
        <v/>
      </c>
      <c r="F17" s="9">
        <f>IFERROR(D17/C17,"")</f>
        <v/>
      </c>
      <c r="S17" s="21">
        <f>IF(DAY(DATE(PORTADA!$B$2,2,13))&lt;&gt;13,"",13)</f>
        <v/>
      </c>
      <c r="T17" s="22">
        <f>IF(DAY(DATE(PORTADA!$B$2,2,13))&lt;&gt;13,"",SUMIFS(MOVIMIENTOS!$F:$F,MOVIMIENTOS!$A:$A,DATE(PORTADA!$B$2,2,13),MOVIMIENTOS!$C:$C,T$4))</f>
        <v/>
      </c>
      <c r="U17" s="22">
        <f>IF(DAY(DATE(PORTADA!$B$2,2,13))&lt;&gt;13,"",SUMIFS(MOVIMIENTOS!$F:$F,MOVIMIENTOS!$A:$A,DATE(PORTADA!$B$2,2,13),MOVIMIENTOS!$C:$C,U$4))</f>
        <v/>
      </c>
      <c r="V17" s="22">
        <f>IF(DAY(DATE(PORTADA!$B$2,2,13))&lt;&gt;13,"",SUMIFS(MOVIMIENTOS!$F:$F,MOVIMIENTOS!$A:$A,DATE(PORTADA!$B$2,2,13),MOVIMIENTOS!$C:$C,V$4))</f>
        <v/>
      </c>
      <c r="W17" s="22">
        <f>IF(DAY(DATE(PORTADA!$B$2,2,13))&lt;&gt;13,"",SUMIFS(MOVIMIENTOS!$F:$F,MOVIMIENTOS!$A:$A,DATE(PORTADA!$B$2,2,13),MOVIMIENTOS!$C:$C,W$4))</f>
        <v/>
      </c>
      <c r="X17" s="22">
        <f>IF(DAY(DATE(PORTADA!$B$2,2,13))&lt;&gt;13,"",SUMIFS(MOVIMIENTOS!$F:$F,MOVIMIENTOS!$A:$A,DATE(PORTADA!$B$2,2,13),MOVIMIENTOS!$C:$C,X$4))</f>
        <v/>
      </c>
      <c r="Y17" s="22">
        <f>IF(DAY(DATE(PORTADA!$B$2,2,13))&lt;&gt;13,"",SUMIFS(MOVIMIENTOS!$F:$F,MOVIMIENTOS!$A:$A,DATE(PORTADA!$B$2,2,13),MOVIMIENTOS!$C:$C,Y$4))</f>
        <v/>
      </c>
      <c r="Z17" s="22">
        <f>IF(DAY(DATE(PORTADA!$B$2,2,13))&lt;&gt;13,"",SUMIFS(MOVIMIENTOS!$F:$F,MOVIMIENTOS!$A:$A,DATE(PORTADA!$B$2,2,13),MOVIMIENTOS!$C:$C,Z$4))</f>
        <v/>
      </c>
      <c r="AA17" s="22">
        <f>IF(DAY(DATE(PORTADA!$B$2,2,13))&lt;&gt;13,"",SUM(T17:Z17))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SUMIFS(MOVIMIENTOS!$F:$F,MOVIMIENTOS!$A:$A,"&gt;="&amp;DATE(PORTADA!$B$2,2,1),MOVIMIENTOS!$A:$A,"&lt;="&amp;EOMONTH(DATE(PORTADA!$B$2,2,1),0),MOVIMIENTOS!$D:$D,$B18)</f>
        <v/>
      </c>
      <c r="E18" s="8">
        <f>C18-D18</f>
        <v/>
      </c>
      <c r="F18" s="9">
        <f>IFERROR(D18/C18,"")</f>
        <v/>
      </c>
      <c r="S18" s="21">
        <f>IF(DAY(DATE(PORTADA!$B$2,2,14))&lt;&gt;14,"",14)</f>
        <v/>
      </c>
      <c r="T18" s="22">
        <f>IF(DAY(DATE(PORTADA!$B$2,2,14))&lt;&gt;14,"",SUMIFS(MOVIMIENTOS!$F:$F,MOVIMIENTOS!$A:$A,DATE(PORTADA!$B$2,2,14),MOVIMIENTOS!$C:$C,T$4))</f>
        <v/>
      </c>
      <c r="U18" s="22">
        <f>IF(DAY(DATE(PORTADA!$B$2,2,14))&lt;&gt;14,"",SUMIFS(MOVIMIENTOS!$F:$F,MOVIMIENTOS!$A:$A,DATE(PORTADA!$B$2,2,14),MOVIMIENTOS!$C:$C,U$4))</f>
        <v/>
      </c>
      <c r="V18" s="22">
        <f>IF(DAY(DATE(PORTADA!$B$2,2,14))&lt;&gt;14,"",SUMIFS(MOVIMIENTOS!$F:$F,MOVIMIENTOS!$A:$A,DATE(PORTADA!$B$2,2,14),MOVIMIENTOS!$C:$C,V$4))</f>
        <v/>
      </c>
      <c r="W18" s="22">
        <f>IF(DAY(DATE(PORTADA!$B$2,2,14))&lt;&gt;14,"",SUMIFS(MOVIMIENTOS!$F:$F,MOVIMIENTOS!$A:$A,DATE(PORTADA!$B$2,2,14),MOVIMIENTOS!$C:$C,W$4))</f>
        <v/>
      </c>
      <c r="X18" s="22">
        <f>IF(DAY(DATE(PORTADA!$B$2,2,14))&lt;&gt;14,"",SUMIFS(MOVIMIENTOS!$F:$F,MOVIMIENTOS!$A:$A,DATE(PORTADA!$B$2,2,14),MOVIMIENTOS!$C:$C,X$4))</f>
        <v/>
      </c>
      <c r="Y18" s="22">
        <f>IF(DAY(DATE(PORTADA!$B$2,2,14))&lt;&gt;14,"",SUMIFS(MOVIMIENTOS!$F:$F,MOVIMIENTOS!$A:$A,DATE(PORTADA!$B$2,2,14),MOVIMIENTOS!$C:$C,Y$4))</f>
        <v/>
      </c>
      <c r="Z18" s="22">
        <f>IF(DAY(DATE(PORTADA!$B$2,2,14))&lt;&gt;14,"",SUMIFS(MOVIMIENTOS!$F:$F,MOVIMIENTOS!$A:$A,DATE(PORTADA!$B$2,2,14),MOVIMIENTOS!$C:$C,Z$4))</f>
        <v/>
      </c>
      <c r="AA18" s="22">
        <f>IF(DAY(DATE(PORTADA!$B$2,2,14))&lt;&gt;14,"",SUM(T18:Z18))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SUMIFS(MOVIMIENTOS!$F:$F,MOVIMIENTOS!$A:$A,"&gt;="&amp;DATE(PORTADA!$B$2,2,1),MOVIMIENTOS!$A:$A,"&lt;="&amp;EOMONTH(DATE(PORTADA!$B$2,2,1),0),MOVIMIENTOS!$D:$D,$B19)</f>
        <v/>
      </c>
      <c r="E19" s="8">
        <f>C19-D19</f>
        <v/>
      </c>
      <c r="F19" s="9">
        <f>IFERROR(D19/C19,"")</f>
        <v/>
      </c>
      <c r="S19" s="21">
        <f>IF(DAY(DATE(PORTADA!$B$2,2,15))&lt;&gt;15,"",15)</f>
        <v/>
      </c>
      <c r="T19" s="22">
        <f>IF(DAY(DATE(PORTADA!$B$2,2,15))&lt;&gt;15,"",SUMIFS(MOVIMIENTOS!$F:$F,MOVIMIENTOS!$A:$A,DATE(PORTADA!$B$2,2,15),MOVIMIENTOS!$C:$C,T$4))</f>
        <v/>
      </c>
      <c r="U19" s="22">
        <f>IF(DAY(DATE(PORTADA!$B$2,2,15))&lt;&gt;15,"",SUMIFS(MOVIMIENTOS!$F:$F,MOVIMIENTOS!$A:$A,DATE(PORTADA!$B$2,2,15),MOVIMIENTOS!$C:$C,U$4))</f>
        <v/>
      </c>
      <c r="V19" s="22">
        <f>IF(DAY(DATE(PORTADA!$B$2,2,15))&lt;&gt;15,"",SUMIFS(MOVIMIENTOS!$F:$F,MOVIMIENTOS!$A:$A,DATE(PORTADA!$B$2,2,15),MOVIMIENTOS!$C:$C,V$4))</f>
        <v/>
      </c>
      <c r="W19" s="22">
        <f>IF(DAY(DATE(PORTADA!$B$2,2,15))&lt;&gt;15,"",SUMIFS(MOVIMIENTOS!$F:$F,MOVIMIENTOS!$A:$A,DATE(PORTADA!$B$2,2,15),MOVIMIENTOS!$C:$C,W$4))</f>
        <v/>
      </c>
      <c r="X19" s="22">
        <f>IF(DAY(DATE(PORTADA!$B$2,2,15))&lt;&gt;15,"",SUMIFS(MOVIMIENTOS!$F:$F,MOVIMIENTOS!$A:$A,DATE(PORTADA!$B$2,2,15),MOVIMIENTOS!$C:$C,X$4))</f>
        <v/>
      </c>
      <c r="Y19" s="22">
        <f>IF(DAY(DATE(PORTADA!$B$2,2,15))&lt;&gt;15,"",SUMIFS(MOVIMIENTOS!$F:$F,MOVIMIENTOS!$A:$A,DATE(PORTADA!$B$2,2,15),MOVIMIENTOS!$C:$C,Y$4))</f>
        <v/>
      </c>
      <c r="Z19" s="22">
        <f>IF(DAY(DATE(PORTADA!$B$2,2,15))&lt;&gt;15,"",SUMIFS(MOVIMIENTOS!$F:$F,MOVIMIENTOS!$A:$A,DATE(PORTADA!$B$2,2,15),MOVIMIENTOS!$C:$C,Z$4))</f>
        <v/>
      </c>
      <c r="AA19" s="22">
        <f>IF(DAY(DATE(PORTADA!$B$2,2,15))&lt;&gt;15,"",SUM(T19:Z19))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SUMIFS(MOVIMIENTOS!$F:$F,MOVIMIENTOS!$A:$A,"&gt;="&amp;DATE(PORTADA!$B$2,2,1),MOVIMIENTOS!$A:$A,"&lt;="&amp;EOMONTH(DATE(PORTADA!$B$2,2,1),0),MOVIMIENTOS!$D:$D,$B20)</f>
        <v/>
      </c>
      <c r="E20" s="8">
        <f>C20-D20</f>
        <v/>
      </c>
      <c r="F20" s="9">
        <f>IFERROR(D20/C20,"")</f>
        <v/>
      </c>
      <c r="S20" s="21">
        <f>IF(DAY(DATE(PORTADA!$B$2,2,16))&lt;&gt;16,"",16)</f>
        <v/>
      </c>
      <c r="T20" s="22">
        <f>IF(DAY(DATE(PORTADA!$B$2,2,16))&lt;&gt;16,"",SUMIFS(MOVIMIENTOS!$F:$F,MOVIMIENTOS!$A:$A,DATE(PORTADA!$B$2,2,16),MOVIMIENTOS!$C:$C,T$4))</f>
        <v/>
      </c>
      <c r="U20" s="22">
        <f>IF(DAY(DATE(PORTADA!$B$2,2,16))&lt;&gt;16,"",SUMIFS(MOVIMIENTOS!$F:$F,MOVIMIENTOS!$A:$A,DATE(PORTADA!$B$2,2,16),MOVIMIENTOS!$C:$C,U$4))</f>
        <v/>
      </c>
      <c r="V20" s="22">
        <f>IF(DAY(DATE(PORTADA!$B$2,2,16))&lt;&gt;16,"",SUMIFS(MOVIMIENTOS!$F:$F,MOVIMIENTOS!$A:$A,DATE(PORTADA!$B$2,2,16),MOVIMIENTOS!$C:$C,V$4))</f>
        <v/>
      </c>
      <c r="W20" s="22">
        <f>IF(DAY(DATE(PORTADA!$B$2,2,16))&lt;&gt;16,"",SUMIFS(MOVIMIENTOS!$F:$F,MOVIMIENTOS!$A:$A,DATE(PORTADA!$B$2,2,16),MOVIMIENTOS!$C:$C,W$4))</f>
        <v/>
      </c>
      <c r="X20" s="22">
        <f>IF(DAY(DATE(PORTADA!$B$2,2,16))&lt;&gt;16,"",SUMIFS(MOVIMIENTOS!$F:$F,MOVIMIENTOS!$A:$A,DATE(PORTADA!$B$2,2,16),MOVIMIENTOS!$C:$C,X$4))</f>
        <v/>
      </c>
      <c r="Y20" s="22">
        <f>IF(DAY(DATE(PORTADA!$B$2,2,16))&lt;&gt;16,"",SUMIFS(MOVIMIENTOS!$F:$F,MOVIMIENTOS!$A:$A,DATE(PORTADA!$B$2,2,16),MOVIMIENTOS!$C:$C,Y$4))</f>
        <v/>
      </c>
      <c r="Z20" s="22">
        <f>IF(DAY(DATE(PORTADA!$B$2,2,16))&lt;&gt;16,"",SUMIFS(MOVIMIENTOS!$F:$F,MOVIMIENTOS!$A:$A,DATE(PORTADA!$B$2,2,16),MOVIMIENTOS!$C:$C,Z$4))</f>
        <v/>
      </c>
      <c r="AA20" s="22">
        <f>IF(DAY(DATE(PORTADA!$B$2,2,16))&lt;&gt;16,"",SUM(T20:Z20))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SUMIFS(MOVIMIENTOS!$F:$F,MOVIMIENTOS!$A:$A,"&gt;="&amp;DATE(PORTADA!$B$2,2,1),MOVIMIENTOS!$A:$A,"&lt;="&amp;EOMONTH(DATE(PORTADA!$B$2,2,1),0),MOVIMIENTOS!$D:$D,$B21)</f>
        <v/>
      </c>
      <c r="E21" s="8">
        <f>C21-D21</f>
        <v/>
      </c>
      <c r="F21" s="9">
        <f>IFERROR(D21/C21,"")</f>
        <v/>
      </c>
      <c r="S21" s="21">
        <f>IF(DAY(DATE(PORTADA!$B$2,2,17))&lt;&gt;17,"",17)</f>
        <v/>
      </c>
      <c r="T21" s="22">
        <f>IF(DAY(DATE(PORTADA!$B$2,2,17))&lt;&gt;17,"",SUMIFS(MOVIMIENTOS!$F:$F,MOVIMIENTOS!$A:$A,DATE(PORTADA!$B$2,2,17),MOVIMIENTOS!$C:$C,T$4))</f>
        <v/>
      </c>
      <c r="U21" s="22">
        <f>IF(DAY(DATE(PORTADA!$B$2,2,17))&lt;&gt;17,"",SUMIFS(MOVIMIENTOS!$F:$F,MOVIMIENTOS!$A:$A,DATE(PORTADA!$B$2,2,17),MOVIMIENTOS!$C:$C,U$4))</f>
        <v/>
      </c>
      <c r="V21" s="22">
        <f>IF(DAY(DATE(PORTADA!$B$2,2,17))&lt;&gt;17,"",SUMIFS(MOVIMIENTOS!$F:$F,MOVIMIENTOS!$A:$A,DATE(PORTADA!$B$2,2,17),MOVIMIENTOS!$C:$C,V$4))</f>
        <v/>
      </c>
      <c r="W21" s="22">
        <f>IF(DAY(DATE(PORTADA!$B$2,2,17))&lt;&gt;17,"",SUMIFS(MOVIMIENTOS!$F:$F,MOVIMIENTOS!$A:$A,DATE(PORTADA!$B$2,2,17),MOVIMIENTOS!$C:$C,W$4))</f>
        <v/>
      </c>
      <c r="X21" s="22">
        <f>IF(DAY(DATE(PORTADA!$B$2,2,17))&lt;&gt;17,"",SUMIFS(MOVIMIENTOS!$F:$F,MOVIMIENTOS!$A:$A,DATE(PORTADA!$B$2,2,17),MOVIMIENTOS!$C:$C,X$4))</f>
        <v/>
      </c>
      <c r="Y21" s="22">
        <f>IF(DAY(DATE(PORTADA!$B$2,2,17))&lt;&gt;17,"",SUMIFS(MOVIMIENTOS!$F:$F,MOVIMIENTOS!$A:$A,DATE(PORTADA!$B$2,2,17),MOVIMIENTOS!$C:$C,Y$4))</f>
        <v/>
      </c>
      <c r="Z21" s="22">
        <f>IF(DAY(DATE(PORTADA!$B$2,2,17))&lt;&gt;17,"",SUMIFS(MOVIMIENTOS!$F:$F,MOVIMIENTOS!$A:$A,DATE(PORTADA!$B$2,2,17),MOVIMIENTOS!$C:$C,Z$4))</f>
        <v/>
      </c>
      <c r="AA21" s="22">
        <f>IF(DAY(DATE(PORTADA!$B$2,2,17))&lt;&gt;17,"",SUM(T21:Z21))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SUMIFS(MOVIMIENTOS!$F:$F,MOVIMIENTOS!$A:$A,"&gt;="&amp;DATE(PORTADA!$B$2,2,1),MOVIMIENTOS!$A:$A,"&lt;="&amp;EOMONTH(DATE(PORTADA!$B$2,2,1),0),MOVIMIENTOS!$D:$D,$B22)</f>
        <v/>
      </c>
      <c r="E22" s="8">
        <f>C22-D22</f>
        <v/>
      </c>
      <c r="F22" s="9">
        <f>IFERROR(D22/C22,"")</f>
        <v/>
      </c>
      <c r="S22" s="21">
        <f>IF(DAY(DATE(PORTADA!$B$2,2,18))&lt;&gt;18,"",18)</f>
        <v/>
      </c>
      <c r="T22" s="22">
        <f>IF(DAY(DATE(PORTADA!$B$2,2,18))&lt;&gt;18,"",SUMIFS(MOVIMIENTOS!$F:$F,MOVIMIENTOS!$A:$A,DATE(PORTADA!$B$2,2,18),MOVIMIENTOS!$C:$C,T$4))</f>
        <v/>
      </c>
      <c r="U22" s="22">
        <f>IF(DAY(DATE(PORTADA!$B$2,2,18))&lt;&gt;18,"",SUMIFS(MOVIMIENTOS!$F:$F,MOVIMIENTOS!$A:$A,DATE(PORTADA!$B$2,2,18),MOVIMIENTOS!$C:$C,U$4))</f>
        <v/>
      </c>
      <c r="V22" s="22">
        <f>IF(DAY(DATE(PORTADA!$B$2,2,18))&lt;&gt;18,"",SUMIFS(MOVIMIENTOS!$F:$F,MOVIMIENTOS!$A:$A,DATE(PORTADA!$B$2,2,18),MOVIMIENTOS!$C:$C,V$4))</f>
        <v/>
      </c>
      <c r="W22" s="22">
        <f>IF(DAY(DATE(PORTADA!$B$2,2,18))&lt;&gt;18,"",SUMIFS(MOVIMIENTOS!$F:$F,MOVIMIENTOS!$A:$A,DATE(PORTADA!$B$2,2,18),MOVIMIENTOS!$C:$C,W$4))</f>
        <v/>
      </c>
      <c r="X22" s="22">
        <f>IF(DAY(DATE(PORTADA!$B$2,2,18))&lt;&gt;18,"",SUMIFS(MOVIMIENTOS!$F:$F,MOVIMIENTOS!$A:$A,DATE(PORTADA!$B$2,2,18),MOVIMIENTOS!$C:$C,X$4))</f>
        <v/>
      </c>
      <c r="Y22" s="22">
        <f>IF(DAY(DATE(PORTADA!$B$2,2,18))&lt;&gt;18,"",SUMIFS(MOVIMIENTOS!$F:$F,MOVIMIENTOS!$A:$A,DATE(PORTADA!$B$2,2,18),MOVIMIENTOS!$C:$C,Y$4))</f>
        <v/>
      </c>
      <c r="Z22" s="22">
        <f>IF(DAY(DATE(PORTADA!$B$2,2,18))&lt;&gt;18,"",SUMIFS(MOVIMIENTOS!$F:$F,MOVIMIENTOS!$A:$A,DATE(PORTADA!$B$2,2,18),MOVIMIENTOS!$C:$C,Z$4))</f>
        <v/>
      </c>
      <c r="AA22" s="22">
        <f>IF(DAY(DATE(PORTADA!$B$2,2,18))&lt;&gt;18,"",SUM(T22:Z22))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SUMIFS(MOVIMIENTOS!$F:$F,MOVIMIENTOS!$A:$A,"&gt;="&amp;DATE(PORTADA!$B$2,2,1),MOVIMIENTOS!$A:$A,"&lt;="&amp;EOMONTH(DATE(PORTADA!$B$2,2,1),0),MOVIMIENTOS!$D:$D,$B23)</f>
        <v/>
      </c>
      <c r="E23" s="8">
        <f>C23-D23</f>
        <v/>
      </c>
      <c r="F23" s="9">
        <f>IFERROR(D23/C23,"")</f>
        <v/>
      </c>
      <c r="S23" s="21">
        <f>IF(DAY(DATE(PORTADA!$B$2,2,19))&lt;&gt;19,"",19)</f>
        <v/>
      </c>
      <c r="T23" s="22">
        <f>IF(DAY(DATE(PORTADA!$B$2,2,19))&lt;&gt;19,"",SUMIFS(MOVIMIENTOS!$F:$F,MOVIMIENTOS!$A:$A,DATE(PORTADA!$B$2,2,19),MOVIMIENTOS!$C:$C,T$4))</f>
        <v/>
      </c>
      <c r="U23" s="22">
        <f>IF(DAY(DATE(PORTADA!$B$2,2,19))&lt;&gt;19,"",SUMIFS(MOVIMIENTOS!$F:$F,MOVIMIENTOS!$A:$A,DATE(PORTADA!$B$2,2,19),MOVIMIENTOS!$C:$C,U$4))</f>
        <v/>
      </c>
      <c r="V23" s="22">
        <f>IF(DAY(DATE(PORTADA!$B$2,2,19))&lt;&gt;19,"",SUMIFS(MOVIMIENTOS!$F:$F,MOVIMIENTOS!$A:$A,DATE(PORTADA!$B$2,2,19),MOVIMIENTOS!$C:$C,V$4))</f>
        <v/>
      </c>
      <c r="W23" s="22">
        <f>IF(DAY(DATE(PORTADA!$B$2,2,19))&lt;&gt;19,"",SUMIFS(MOVIMIENTOS!$F:$F,MOVIMIENTOS!$A:$A,DATE(PORTADA!$B$2,2,19),MOVIMIENTOS!$C:$C,W$4))</f>
        <v/>
      </c>
      <c r="X23" s="22">
        <f>IF(DAY(DATE(PORTADA!$B$2,2,19))&lt;&gt;19,"",SUMIFS(MOVIMIENTOS!$F:$F,MOVIMIENTOS!$A:$A,DATE(PORTADA!$B$2,2,19),MOVIMIENTOS!$C:$C,X$4))</f>
        <v/>
      </c>
      <c r="Y23" s="22">
        <f>IF(DAY(DATE(PORTADA!$B$2,2,19))&lt;&gt;19,"",SUMIFS(MOVIMIENTOS!$F:$F,MOVIMIENTOS!$A:$A,DATE(PORTADA!$B$2,2,19),MOVIMIENTOS!$C:$C,Y$4))</f>
        <v/>
      </c>
      <c r="Z23" s="22">
        <f>IF(DAY(DATE(PORTADA!$B$2,2,19))&lt;&gt;19,"",SUMIFS(MOVIMIENTOS!$F:$F,MOVIMIENTOS!$A:$A,DATE(PORTADA!$B$2,2,19),MOVIMIENTOS!$C:$C,Z$4))</f>
        <v/>
      </c>
      <c r="AA23" s="22">
        <f>IF(DAY(DATE(PORTADA!$B$2,2,19))&lt;&gt;19,"",SUM(T23:Z23))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SUMIFS(MOVIMIENTOS!$F:$F,MOVIMIENTOS!$A:$A,"&gt;="&amp;DATE(PORTADA!$B$2,2,1),MOVIMIENTOS!$A:$A,"&lt;="&amp;EOMONTH(DATE(PORTADA!$B$2,2,1),0),MOVIMIENTOS!$D:$D,$B24)</f>
        <v/>
      </c>
      <c r="E24" s="8">
        <f>C24-D24</f>
        <v/>
      </c>
      <c r="F24" s="9">
        <f>IFERROR(D24/C24,"")</f>
        <v/>
      </c>
      <c r="S24" s="21">
        <f>IF(DAY(DATE(PORTADA!$B$2,2,20))&lt;&gt;20,"",20)</f>
        <v/>
      </c>
      <c r="T24" s="22">
        <f>IF(DAY(DATE(PORTADA!$B$2,2,20))&lt;&gt;20,"",SUMIFS(MOVIMIENTOS!$F:$F,MOVIMIENTOS!$A:$A,DATE(PORTADA!$B$2,2,20),MOVIMIENTOS!$C:$C,T$4))</f>
        <v/>
      </c>
      <c r="U24" s="22">
        <f>IF(DAY(DATE(PORTADA!$B$2,2,20))&lt;&gt;20,"",SUMIFS(MOVIMIENTOS!$F:$F,MOVIMIENTOS!$A:$A,DATE(PORTADA!$B$2,2,20),MOVIMIENTOS!$C:$C,U$4))</f>
        <v/>
      </c>
      <c r="V24" s="22">
        <f>IF(DAY(DATE(PORTADA!$B$2,2,20))&lt;&gt;20,"",SUMIFS(MOVIMIENTOS!$F:$F,MOVIMIENTOS!$A:$A,DATE(PORTADA!$B$2,2,20),MOVIMIENTOS!$C:$C,V$4))</f>
        <v/>
      </c>
      <c r="W24" s="22">
        <f>IF(DAY(DATE(PORTADA!$B$2,2,20))&lt;&gt;20,"",SUMIFS(MOVIMIENTOS!$F:$F,MOVIMIENTOS!$A:$A,DATE(PORTADA!$B$2,2,20),MOVIMIENTOS!$C:$C,W$4))</f>
        <v/>
      </c>
      <c r="X24" s="22">
        <f>IF(DAY(DATE(PORTADA!$B$2,2,20))&lt;&gt;20,"",SUMIFS(MOVIMIENTOS!$F:$F,MOVIMIENTOS!$A:$A,DATE(PORTADA!$B$2,2,20),MOVIMIENTOS!$C:$C,X$4))</f>
        <v/>
      </c>
      <c r="Y24" s="22">
        <f>IF(DAY(DATE(PORTADA!$B$2,2,20))&lt;&gt;20,"",SUMIFS(MOVIMIENTOS!$F:$F,MOVIMIENTOS!$A:$A,DATE(PORTADA!$B$2,2,20),MOVIMIENTOS!$C:$C,Y$4))</f>
        <v/>
      </c>
      <c r="Z24" s="22">
        <f>IF(DAY(DATE(PORTADA!$B$2,2,20))&lt;&gt;20,"",SUMIFS(MOVIMIENTOS!$F:$F,MOVIMIENTOS!$A:$A,DATE(PORTADA!$B$2,2,20),MOVIMIENTOS!$C:$C,Z$4))</f>
        <v/>
      </c>
      <c r="AA24" s="22">
        <f>IF(DAY(DATE(PORTADA!$B$2,2,20))&lt;&gt;20,"",SUM(T24:Z24))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SUMIFS(MOVIMIENTOS!$F:$F,MOVIMIENTOS!$A:$A,"&gt;="&amp;DATE(PORTADA!$B$2,2,1),MOVIMIENTOS!$A:$A,"&lt;="&amp;EOMONTH(DATE(PORTADA!$B$2,2,1),0),MOVIMIENTOS!$D:$D,$B25)</f>
        <v/>
      </c>
      <c r="E25" s="8">
        <f>C25-D25</f>
        <v/>
      </c>
      <c r="F25" s="9">
        <f>IFERROR(D25/C25,"")</f>
        <v/>
      </c>
      <c r="S25" s="21">
        <f>IF(DAY(DATE(PORTADA!$B$2,2,21))&lt;&gt;21,"",21)</f>
        <v/>
      </c>
      <c r="T25" s="22">
        <f>IF(DAY(DATE(PORTADA!$B$2,2,21))&lt;&gt;21,"",SUMIFS(MOVIMIENTOS!$F:$F,MOVIMIENTOS!$A:$A,DATE(PORTADA!$B$2,2,21),MOVIMIENTOS!$C:$C,T$4))</f>
        <v/>
      </c>
      <c r="U25" s="22">
        <f>IF(DAY(DATE(PORTADA!$B$2,2,21))&lt;&gt;21,"",SUMIFS(MOVIMIENTOS!$F:$F,MOVIMIENTOS!$A:$A,DATE(PORTADA!$B$2,2,21),MOVIMIENTOS!$C:$C,U$4))</f>
        <v/>
      </c>
      <c r="V25" s="22">
        <f>IF(DAY(DATE(PORTADA!$B$2,2,21))&lt;&gt;21,"",SUMIFS(MOVIMIENTOS!$F:$F,MOVIMIENTOS!$A:$A,DATE(PORTADA!$B$2,2,21),MOVIMIENTOS!$C:$C,V$4))</f>
        <v/>
      </c>
      <c r="W25" s="22">
        <f>IF(DAY(DATE(PORTADA!$B$2,2,21))&lt;&gt;21,"",SUMIFS(MOVIMIENTOS!$F:$F,MOVIMIENTOS!$A:$A,DATE(PORTADA!$B$2,2,21),MOVIMIENTOS!$C:$C,W$4))</f>
        <v/>
      </c>
      <c r="X25" s="22">
        <f>IF(DAY(DATE(PORTADA!$B$2,2,21))&lt;&gt;21,"",SUMIFS(MOVIMIENTOS!$F:$F,MOVIMIENTOS!$A:$A,DATE(PORTADA!$B$2,2,21),MOVIMIENTOS!$C:$C,X$4))</f>
        <v/>
      </c>
      <c r="Y25" s="22">
        <f>IF(DAY(DATE(PORTADA!$B$2,2,21))&lt;&gt;21,"",SUMIFS(MOVIMIENTOS!$F:$F,MOVIMIENTOS!$A:$A,DATE(PORTADA!$B$2,2,21),MOVIMIENTOS!$C:$C,Y$4))</f>
        <v/>
      </c>
      <c r="Z25" s="22">
        <f>IF(DAY(DATE(PORTADA!$B$2,2,21))&lt;&gt;21,"",SUMIFS(MOVIMIENTOS!$F:$F,MOVIMIENTOS!$A:$A,DATE(PORTADA!$B$2,2,21),MOVIMIENTOS!$C:$C,Z$4))</f>
        <v/>
      </c>
      <c r="AA25" s="22">
        <f>IF(DAY(DATE(PORTADA!$B$2,2,21))&lt;&gt;21,"",SUM(T25:Z25))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SUMIFS(MOVIMIENTOS!$F:$F,MOVIMIENTOS!$A:$A,"&gt;="&amp;DATE(PORTADA!$B$2,2,1),MOVIMIENTOS!$A:$A,"&lt;="&amp;EOMONTH(DATE(PORTADA!$B$2,2,1),0),MOVIMIENTOS!$D:$D,$B26)</f>
        <v/>
      </c>
      <c r="E26" s="8">
        <f>C26-D26</f>
        <v/>
      </c>
      <c r="F26" s="9">
        <f>IFERROR(D26/C26,"")</f>
        <v/>
      </c>
      <c r="S26" s="21">
        <f>IF(DAY(DATE(PORTADA!$B$2,2,22))&lt;&gt;22,"",22)</f>
        <v/>
      </c>
      <c r="T26" s="22">
        <f>IF(DAY(DATE(PORTADA!$B$2,2,22))&lt;&gt;22,"",SUMIFS(MOVIMIENTOS!$F:$F,MOVIMIENTOS!$A:$A,DATE(PORTADA!$B$2,2,22),MOVIMIENTOS!$C:$C,T$4))</f>
        <v/>
      </c>
      <c r="U26" s="22">
        <f>IF(DAY(DATE(PORTADA!$B$2,2,22))&lt;&gt;22,"",SUMIFS(MOVIMIENTOS!$F:$F,MOVIMIENTOS!$A:$A,DATE(PORTADA!$B$2,2,22),MOVIMIENTOS!$C:$C,U$4))</f>
        <v/>
      </c>
      <c r="V26" s="22">
        <f>IF(DAY(DATE(PORTADA!$B$2,2,22))&lt;&gt;22,"",SUMIFS(MOVIMIENTOS!$F:$F,MOVIMIENTOS!$A:$A,DATE(PORTADA!$B$2,2,22),MOVIMIENTOS!$C:$C,V$4))</f>
        <v/>
      </c>
      <c r="W26" s="22">
        <f>IF(DAY(DATE(PORTADA!$B$2,2,22))&lt;&gt;22,"",SUMIFS(MOVIMIENTOS!$F:$F,MOVIMIENTOS!$A:$A,DATE(PORTADA!$B$2,2,22),MOVIMIENTOS!$C:$C,W$4))</f>
        <v/>
      </c>
      <c r="X26" s="22">
        <f>IF(DAY(DATE(PORTADA!$B$2,2,22))&lt;&gt;22,"",SUMIFS(MOVIMIENTOS!$F:$F,MOVIMIENTOS!$A:$A,DATE(PORTADA!$B$2,2,22),MOVIMIENTOS!$C:$C,X$4))</f>
        <v/>
      </c>
      <c r="Y26" s="22">
        <f>IF(DAY(DATE(PORTADA!$B$2,2,22))&lt;&gt;22,"",SUMIFS(MOVIMIENTOS!$F:$F,MOVIMIENTOS!$A:$A,DATE(PORTADA!$B$2,2,22),MOVIMIENTOS!$C:$C,Y$4))</f>
        <v/>
      </c>
      <c r="Z26" s="22">
        <f>IF(DAY(DATE(PORTADA!$B$2,2,22))&lt;&gt;22,"",SUMIFS(MOVIMIENTOS!$F:$F,MOVIMIENTOS!$A:$A,DATE(PORTADA!$B$2,2,22),MOVIMIENTOS!$C:$C,Z$4))</f>
        <v/>
      </c>
      <c r="AA26" s="22">
        <f>IF(DAY(DATE(PORTADA!$B$2,2,22))&lt;&gt;22,"",SUM(T26:Z26))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SUMIFS(MOVIMIENTOS!$F:$F,MOVIMIENTOS!$A:$A,"&gt;="&amp;DATE(PORTADA!$B$2,2,1),MOVIMIENTOS!$A:$A,"&lt;="&amp;EOMONTH(DATE(PORTADA!$B$2,2,1),0),MOVIMIENTOS!$D:$D,$B27)</f>
        <v/>
      </c>
      <c r="E27" s="8">
        <f>C27-D27</f>
        <v/>
      </c>
      <c r="F27" s="9">
        <f>IFERROR(D27/C27,"")</f>
        <v/>
      </c>
      <c r="S27" s="21">
        <f>IF(DAY(DATE(PORTADA!$B$2,2,23))&lt;&gt;23,"",23)</f>
        <v/>
      </c>
      <c r="T27" s="22">
        <f>IF(DAY(DATE(PORTADA!$B$2,2,23))&lt;&gt;23,"",SUMIFS(MOVIMIENTOS!$F:$F,MOVIMIENTOS!$A:$A,DATE(PORTADA!$B$2,2,23),MOVIMIENTOS!$C:$C,T$4))</f>
        <v/>
      </c>
      <c r="U27" s="22">
        <f>IF(DAY(DATE(PORTADA!$B$2,2,23))&lt;&gt;23,"",SUMIFS(MOVIMIENTOS!$F:$F,MOVIMIENTOS!$A:$A,DATE(PORTADA!$B$2,2,23),MOVIMIENTOS!$C:$C,U$4))</f>
        <v/>
      </c>
      <c r="V27" s="22">
        <f>IF(DAY(DATE(PORTADA!$B$2,2,23))&lt;&gt;23,"",SUMIFS(MOVIMIENTOS!$F:$F,MOVIMIENTOS!$A:$A,DATE(PORTADA!$B$2,2,23),MOVIMIENTOS!$C:$C,V$4))</f>
        <v/>
      </c>
      <c r="W27" s="22">
        <f>IF(DAY(DATE(PORTADA!$B$2,2,23))&lt;&gt;23,"",SUMIFS(MOVIMIENTOS!$F:$F,MOVIMIENTOS!$A:$A,DATE(PORTADA!$B$2,2,23),MOVIMIENTOS!$C:$C,W$4))</f>
        <v/>
      </c>
      <c r="X27" s="22">
        <f>IF(DAY(DATE(PORTADA!$B$2,2,23))&lt;&gt;23,"",SUMIFS(MOVIMIENTOS!$F:$F,MOVIMIENTOS!$A:$A,DATE(PORTADA!$B$2,2,23),MOVIMIENTOS!$C:$C,X$4))</f>
        <v/>
      </c>
      <c r="Y27" s="22">
        <f>IF(DAY(DATE(PORTADA!$B$2,2,23))&lt;&gt;23,"",SUMIFS(MOVIMIENTOS!$F:$F,MOVIMIENTOS!$A:$A,DATE(PORTADA!$B$2,2,23),MOVIMIENTOS!$C:$C,Y$4))</f>
        <v/>
      </c>
      <c r="Z27" s="22">
        <f>IF(DAY(DATE(PORTADA!$B$2,2,23))&lt;&gt;23,"",SUMIFS(MOVIMIENTOS!$F:$F,MOVIMIENTOS!$A:$A,DATE(PORTADA!$B$2,2,23),MOVIMIENTOS!$C:$C,Z$4))</f>
        <v/>
      </c>
      <c r="AA27" s="22">
        <f>IF(DAY(DATE(PORTADA!$B$2,2,23))&lt;&gt;23,"",SUM(T27:Z27))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SUMIFS(MOVIMIENTOS!$F:$F,MOVIMIENTOS!$A:$A,"&gt;="&amp;DATE(PORTADA!$B$2,2,1),MOVIMIENTOS!$A:$A,"&lt;="&amp;EOMONTH(DATE(PORTADA!$B$2,2,1),0),MOVIMIENTOS!$D:$D,$B28)</f>
        <v/>
      </c>
      <c r="E28" s="8">
        <f>C28-D28</f>
        <v/>
      </c>
      <c r="F28" s="9">
        <f>IFERROR(D28/C28,"")</f>
        <v/>
      </c>
      <c r="S28" s="21">
        <f>IF(DAY(DATE(PORTADA!$B$2,2,24))&lt;&gt;24,"",24)</f>
        <v/>
      </c>
      <c r="T28" s="22">
        <f>IF(DAY(DATE(PORTADA!$B$2,2,24))&lt;&gt;24,"",SUMIFS(MOVIMIENTOS!$F:$F,MOVIMIENTOS!$A:$A,DATE(PORTADA!$B$2,2,24),MOVIMIENTOS!$C:$C,T$4))</f>
        <v/>
      </c>
      <c r="U28" s="22">
        <f>IF(DAY(DATE(PORTADA!$B$2,2,24))&lt;&gt;24,"",SUMIFS(MOVIMIENTOS!$F:$F,MOVIMIENTOS!$A:$A,DATE(PORTADA!$B$2,2,24),MOVIMIENTOS!$C:$C,U$4))</f>
        <v/>
      </c>
      <c r="V28" s="22">
        <f>IF(DAY(DATE(PORTADA!$B$2,2,24))&lt;&gt;24,"",SUMIFS(MOVIMIENTOS!$F:$F,MOVIMIENTOS!$A:$A,DATE(PORTADA!$B$2,2,24),MOVIMIENTOS!$C:$C,V$4))</f>
        <v/>
      </c>
      <c r="W28" s="22">
        <f>IF(DAY(DATE(PORTADA!$B$2,2,24))&lt;&gt;24,"",SUMIFS(MOVIMIENTOS!$F:$F,MOVIMIENTOS!$A:$A,DATE(PORTADA!$B$2,2,24),MOVIMIENTOS!$C:$C,W$4))</f>
        <v/>
      </c>
      <c r="X28" s="22">
        <f>IF(DAY(DATE(PORTADA!$B$2,2,24))&lt;&gt;24,"",SUMIFS(MOVIMIENTOS!$F:$F,MOVIMIENTOS!$A:$A,DATE(PORTADA!$B$2,2,24),MOVIMIENTOS!$C:$C,X$4))</f>
        <v/>
      </c>
      <c r="Y28" s="22">
        <f>IF(DAY(DATE(PORTADA!$B$2,2,24))&lt;&gt;24,"",SUMIFS(MOVIMIENTOS!$F:$F,MOVIMIENTOS!$A:$A,DATE(PORTADA!$B$2,2,24),MOVIMIENTOS!$C:$C,Y$4))</f>
        <v/>
      </c>
      <c r="Z28" s="22">
        <f>IF(DAY(DATE(PORTADA!$B$2,2,24))&lt;&gt;24,"",SUMIFS(MOVIMIENTOS!$F:$F,MOVIMIENTOS!$A:$A,DATE(PORTADA!$B$2,2,24),MOVIMIENTOS!$C:$C,Z$4))</f>
        <v/>
      </c>
      <c r="AA28" s="22">
        <f>IF(DAY(DATE(PORTADA!$B$2,2,24))&lt;&gt;24,"",SUM(T28:Z28))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SUMIFS(MOVIMIENTOS!$F:$F,MOVIMIENTOS!$A:$A,"&gt;="&amp;DATE(PORTADA!$B$2,2,1),MOVIMIENTOS!$A:$A,"&lt;="&amp;EOMONTH(DATE(PORTADA!$B$2,2,1),0),MOVIMIENTOS!$D:$D,$B29)</f>
        <v/>
      </c>
      <c r="E29" s="8">
        <f>C29-D29</f>
        <v/>
      </c>
      <c r="F29" s="9">
        <f>IFERROR(D29/C29,"")</f>
        <v/>
      </c>
      <c r="S29" s="21">
        <f>IF(DAY(DATE(PORTADA!$B$2,2,25))&lt;&gt;25,"",25)</f>
        <v/>
      </c>
      <c r="T29" s="22">
        <f>IF(DAY(DATE(PORTADA!$B$2,2,25))&lt;&gt;25,"",SUMIFS(MOVIMIENTOS!$F:$F,MOVIMIENTOS!$A:$A,DATE(PORTADA!$B$2,2,25),MOVIMIENTOS!$C:$C,T$4))</f>
        <v/>
      </c>
      <c r="U29" s="22">
        <f>IF(DAY(DATE(PORTADA!$B$2,2,25))&lt;&gt;25,"",SUMIFS(MOVIMIENTOS!$F:$F,MOVIMIENTOS!$A:$A,DATE(PORTADA!$B$2,2,25),MOVIMIENTOS!$C:$C,U$4))</f>
        <v/>
      </c>
      <c r="V29" s="22">
        <f>IF(DAY(DATE(PORTADA!$B$2,2,25))&lt;&gt;25,"",SUMIFS(MOVIMIENTOS!$F:$F,MOVIMIENTOS!$A:$A,DATE(PORTADA!$B$2,2,25),MOVIMIENTOS!$C:$C,V$4))</f>
        <v/>
      </c>
      <c r="W29" s="22">
        <f>IF(DAY(DATE(PORTADA!$B$2,2,25))&lt;&gt;25,"",SUMIFS(MOVIMIENTOS!$F:$F,MOVIMIENTOS!$A:$A,DATE(PORTADA!$B$2,2,25),MOVIMIENTOS!$C:$C,W$4))</f>
        <v/>
      </c>
      <c r="X29" s="22">
        <f>IF(DAY(DATE(PORTADA!$B$2,2,25))&lt;&gt;25,"",SUMIFS(MOVIMIENTOS!$F:$F,MOVIMIENTOS!$A:$A,DATE(PORTADA!$B$2,2,25),MOVIMIENTOS!$C:$C,X$4))</f>
        <v/>
      </c>
      <c r="Y29" s="22">
        <f>IF(DAY(DATE(PORTADA!$B$2,2,25))&lt;&gt;25,"",SUMIFS(MOVIMIENTOS!$F:$F,MOVIMIENTOS!$A:$A,DATE(PORTADA!$B$2,2,25),MOVIMIENTOS!$C:$C,Y$4))</f>
        <v/>
      </c>
      <c r="Z29" s="22">
        <f>IF(DAY(DATE(PORTADA!$B$2,2,25))&lt;&gt;25,"",SUMIFS(MOVIMIENTOS!$F:$F,MOVIMIENTOS!$A:$A,DATE(PORTADA!$B$2,2,25),MOVIMIENTOS!$C:$C,Z$4))</f>
        <v/>
      </c>
      <c r="AA29" s="22">
        <f>IF(DAY(DATE(PORTADA!$B$2,2,25))&lt;&gt;25,"",SUM(T29:Z29))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SUMIFS(MOVIMIENTOS!$F:$F,MOVIMIENTOS!$A:$A,"&gt;="&amp;DATE(PORTADA!$B$2,2,1),MOVIMIENTOS!$A:$A,"&lt;="&amp;EOMONTH(DATE(PORTADA!$B$2,2,1),0),MOVIMIENTOS!$D:$D,$B30)</f>
        <v/>
      </c>
      <c r="E30" s="8">
        <f>C30-D30</f>
        <v/>
      </c>
      <c r="F30" s="9">
        <f>IFERROR(D30/C30,"")</f>
        <v/>
      </c>
      <c r="S30" s="21">
        <f>IF(DAY(DATE(PORTADA!$B$2,2,26))&lt;&gt;26,"",26)</f>
        <v/>
      </c>
      <c r="T30" s="22">
        <f>IF(DAY(DATE(PORTADA!$B$2,2,26))&lt;&gt;26,"",SUMIFS(MOVIMIENTOS!$F:$F,MOVIMIENTOS!$A:$A,DATE(PORTADA!$B$2,2,26),MOVIMIENTOS!$C:$C,T$4))</f>
        <v/>
      </c>
      <c r="U30" s="22">
        <f>IF(DAY(DATE(PORTADA!$B$2,2,26))&lt;&gt;26,"",SUMIFS(MOVIMIENTOS!$F:$F,MOVIMIENTOS!$A:$A,DATE(PORTADA!$B$2,2,26),MOVIMIENTOS!$C:$C,U$4))</f>
        <v/>
      </c>
      <c r="V30" s="22">
        <f>IF(DAY(DATE(PORTADA!$B$2,2,26))&lt;&gt;26,"",SUMIFS(MOVIMIENTOS!$F:$F,MOVIMIENTOS!$A:$A,DATE(PORTADA!$B$2,2,26),MOVIMIENTOS!$C:$C,V$4))</f>
        <v/>
      </c>
      <c r="W30" s="22">
        <f>IF(DAY(DATE(PORTADA!$B$2,2,26))&lt;&gt;26,"",SUMIFS(MOVIMIENTOS!$F:$F,MOVIMIENTOS!$A:$A,DATE(PORTADA!$B$2,2,26),MOVIMIENTOS!$C:$C,W$4))</f>
        <v/>
      </c>
      <c r="X30" s="22">
        <f>IF(DAY(DATE(PORTADA!$B$2,2,26))&lt;&gt;26,"",SUMIFS(MOVIMIENTOS!$F:$F,MOVIMIENTOS!$A:$A,DATE(PORTADA!$B$2,2,26),MOVIMIENTOS!$C:$C,X$4))</f>
        <v/>
      </c>
      <c r="Y30" s="22">
        <f>IF(DAY(DATE(PORTADA!$B$2,2,26))&lt;&gt;26,"",SUMIFS(MOVIMIENTOS!$F:$F,MOVIMIENTOS!$A:$A,DATE(PORTADA!$B$2,2,26),MOVIMIENTOS!$C:$C,Y$4))</f>
        <v/>
      </c>
      <c r="Z30" s="22">
        <f>IF(DAY(DATE(PORTADA!$B$2,2,26))&lt;&gt;26,"",SUMIFS(MOVIMIENTOS!$F:$F,MOVIMIENTOS!$A:$A,DATE(PORTADA!$B$2,2,26),MOVIMIENTOS!$C:$C,Z$4))</f>
        <v/>
      </c>
      <c r="AA30" s="22">
        <f>IF(DAY(DATE(PORTADA!$B$2,2,26))&lt;&gt;26,"",SUM(T30:Z30))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SUMIFS(MOVIMIENTOS!$F:$F,MOVIMIENTOS!$A:$A,"&gt;="&amp;DATE(PORTADA!$B$2,2,1),MOVIMIENTOS!$A:$A,"&lt;="&amp;EOMONTH(DATE(PORTADA!$B$2,2,1),0),MOVIMIENTOS!$D:$D,$B31)</f>
        <v/>
      </c>
      <c r="E31" s="8">
        <f>C31-D31</f>
        <v/>
      </c>
      <c r="F31" s="9">
        <f>IFERROR(D31/C31,"")</f>
        <v/>
      </c>
      <c r="S31" s="21">
        <f>IF(DAY(DATE(PORTADA!$B$2,2,27))&lt;&gt;27,"",27)</f>
        <v/>
      </c>
      <c r="T31" s="22">
        <f>IF(DAY(DATE(PORTADA!$B$2,2,27))&lt;&gt;27,"",SUMIFS(MOVIMIENTOS!$F:$F,MOVIMIENTOS!$A:$A,DATE(PORTADA!$B$2,2,27),MOVIMIENTOS!$C:$C,T$4))</f>
        <v/>
      </c>
      <c r="U31" s="22">
        <f>IF(DAY(DATE(PORTADA!$B$2,2,27))&lt;&gt;27,"",SUMIFS(MOVIMIENTOS!$F:$F,MOVIMIENTOS!$A:$A,DATE(PORTADA!$B$2,2,27),MOVIMIENTOS!$C:$C,U$4))</f>
        <v/>
      </c>
      <c r="V31" s="22">
        <f>IF(DAY(DATE(PORTADA!$B$2,2,27))&lt;&gt;27,"",SUMIFS(MOVIMIENTOS!$F:$F,MOVIMIENTOS!$A:$A,DATE(PORTADA!$B$2,2,27),MOVIMIENTOS!$C:$C,V$4))</f>
        <v/>
      </c>
      <c r="W31" s="22">
        <f>IF(DAY(DATE(PORTADA!$B$2,2,27))&lt;&gt;27,"",SUMIFS(MOVIMIENTOS!$F:$F,MOVIMIENTOS!$A:$A,DATE(PORTADA!$B$2,2,27),MOVIMIENTOS!$C:$C,W$4))</f>
        <v/>
      </c>
      <c r="X31" s="22">
        <f>IF(DAY(DATE(PORTADA!$B$2,2,27))&lt;&gt;27,"",SUMIFS(MOVIMIENTOS!$F:$F,MOVIMIENTOS!$A:$A,DATE(PORTADA!$B$2,2,27),MOVIMIENTOS!$C:$C,X$4))</f>
        <v/>
      </c>
      <c r="Y31" s="22">
        <f>IF(DAY(DATE(PORTADA!$B$2,2,27))&lt;&gt;27,"",SUMIFS(MOVIMIENTOS!$F:$F,MOVIMIENTOS!$A:$A,DATE(PORTADA!$B$2,2,27),MOVIMIENTOS!$C:$C,Y$4))</f>
        <v/>
      </c>
      <c r="Z31" s="22">
        <f>IF(DAY(DATE(PORTADA!$B$2,2,27))&lt;&gt;27,"",SUMIFS(MOVIMIENTOS!$F:$F,MOVIMIENTOS!$A:$A,DATE(PORTADA!$B$2,2,27),MOVIMIENTOS!$C:$C,Z$4))</f>
        <v/>
      </c>
      <c r="AA31" s="22">
        <f>IF(DAY(DATE(PORTADA!$B$2,2,27))&lt;&gt;27,"",SUM(T31:Z31))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SUMIFS(MOVIMIENTOS!$F:$F,MOVIMIENTOS!$A:$A,"&gt;="&amp;DATE(PORTADA!$B$2,2,1),MOVIMIENTOS!$A:$A,"&lt;="&amp;EOMONTH(DATE(PORTADA!$B$2,2,1),0),MOVIMIENTOS!$D:$D,$B32)</f>
        <v/>
      </c>
      <c r="E32" s="8">
        <f>C32-D32</f>
        <v/>
      </c>
      <c r="F32" s="9">
        <f>IFERROR(D32/C32,"")</f>
        <v/>
      </c>
      <c r="S32" s="21">
        <f>IF(DAY(DATE(PORTADA!$B$2,2,28))&lt;&gt;28,"",28)</f>
        <v/>
      </c>
      <c r="T32" s="22">
        <f>IF(DAY(DATE(PORTADA!$B$2,2,28))&lt;&gt;28,"",SUMIFS(MOVIMIENTOS!$F:$F,MOVIMIENTOS!$A:$A,DATE(PORTADA!$B$2,2,28),MOVIMIENTOS!$C:$C,T$4))</f>
        <v/>
      </c>
      <c r="U32" s="22">
        <f>IF(DAY(DATE(PORTADA!$B$2,2,28))&lt;&gt;28,"",SUMIFS(MOVIMIENTOS!$F:$F,MOVIMIENTOS!$A:$A,DATE(PORTADA!$B$2,2,28),MOVIMIENTOS!$C:$C,U$4))</f>
        <v/>
      </c>
      <c r="V32" s="22">
        <f>IF(DAY(DATE(PORTADA!$B$2,2,28))&lt;&gt;28,"",SUMIFS(MOVIMIENTOS!$F:$F,MOVIMIENTOS!$A:$A,DATE(PORTADA!$B$2,2,28),MOVIMIENTOS!$C:$C,V$4))</f>
        <v/>
      </c>
      <c r="W32" s="22">
        <f>IF(DAY(DATE(PORTADA!$B$2,2,28))&lt;&gt;28,"",SUMIFS(MOVIMIENTOS!$F:$F,MOVIMIENTOS!$A:$A,DATE(PORTADA!$B$2,2,28),MOVIMIENTOS!$C:$C,W$4))</f>
        <v/>
      </c>
      <c r="X32" s="22">
        <f>IF(DAY(DATE(PORTADA!$B$2,2,28))&lt;&gt;28,"",SUMIFS(MOVIMIENTOS!$F:$F,MOVIMIENTOS!$A:$A,DATE(PORTADA!$B$2,2,28),MOVIMIENTOS!$C:$C,X$4))</f>
        <v/>
      </c>
      <c r="Y32" s="22">
        <f>IF(DAY(DATE(PORTADA!$B$2,2,28))&lt;&gt;28,"",SUMIFS(MOVIMIENTOS!$F:$F,MOVIMIENTOS!$A:$A,DATE(PORTADA!$B$2,2,28),MOVIMIENTOS!$C:$C,Y$4))</f>
        <v/>
      </c>
      <c r="Z32" s="22">
        <f>IF(DAY(DATE(PORTADA!$B$2,2,28))&lt;&gt;28,"",SUMIFS(MOVIMIENTOS!$F:$F,MOVIMIENTOS!$A:$A,DATE(PORTADA!$B$2,2,28),MOVIMIENTOS!$C:$C,Z$4))</f>
        <v/>
      </c>
      <c r="AA32" s="22">
        <f>IF(DAY(DATE(PORTADA!$B$2,2,28))&lt;&gt;28,"",SUM(T32:Z32))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SUMIFS(MOVIMIENTOS!$F:$F,MOVIMIENTOS!$A:$A,"&gt;="&amp;DATE(PORTADA!$B$2,2,1),MOVIMIENTOS!$A:$A,"&lt;="&amp;EOMONTH(DATE(PORTADA!$B$2,2,1),0),MOVIMIENTOS!$D:$D,$B33)</f>
        <v/>
      </c>
      <c r="E33" s="8">
        <f>C33-D33</f>
        <v/>
      </c>
      <c r="F33" s="9">
        <f>IFERROR(D33/C33,"")</f>
        <v/>
      </c>
      <c r="S33" s="21">
        <f>IF(DAY(DATE(PORTADA!$B$2,2,29))&lt;&gt;29,"",29)</f>
        <v/>
      </c>
      <c r="T33" s="22">
        <f>IF(DAY(DATE(PORTADA!$B$2,2,29))&lt;&gt;29,"",SUMIFS(MOVIMIENTOS!$F:$F,MOVIMIENTOS!$A:$A,DATE(PORTADA!$B$2,2,29),MOVIMIENTOS!$C:$C,T$4))</f>
        <v/>
      </c>
      <c r="U33" s="22">
        <f>IF(DAY(DATE(PORTADA!$B$2,2,29))&lt;&gt;29,"",SUMIFS(MOVIMIENTOS!$F:$F,MOVIMIENTOS!$A:$A,DATE(PORTADA!$B$2,2,29),MOVIMIENTOS!$C:$C,U$4))</f>
        <v/>
      </c>
      <c r="V33" s="22">
        <f>IF(DAY(DATE(PORTADA!$B$2,2,29))&lt;&gt;29,"",SUMIFS(MOVIMIENTOS!$F:$F,MOVIMIENTOS!$A:$A,DATE(PORTADA!$B$2,2,29),MOVIMIENTOS!$C:$C,V$4))</f>
        <v/>
      </c>
      <c r="W33" s="22">
        <f>IF(DAY(DATE(PORTADA!$B$2,2,29))&lt;&gt;29,"",SUMIFS(MOVIMIENTOS!$F:$F,MOVIMIENTOS!$A:$A,DATE(PORTADA!$B$2,2,29),MOVIMIENTOS!$C:$C,W$4))</f>
        <v/>
      </c>
      <c r="X33" s="22">
        <f>IF(DAY(DATE(PORTADA!$B$2,2,29))&lt;&gt;29,"",SUMIFS(MOVIMIENTOS!$F:$F,MOVIMIENTOS!$A:$A,DATE(PORTADA!$B$2,2,29),MOVIMIENTOS!$C:$C,X$4))</f>
        <v/>
      </c>
      <c r="Y33" s="22">
        <f>IF(DAY(DATE(PORTADA!$B$2,2,29))&lt;&gt;29,"",SUMIFS(MOVIMIENTOS!$F:$F,MOVIMIENTOS!$A:$A,DATE(PORTADA!$B$2,2,29),MOVIMIENTOS!$C:$C,Y$4))</f>
        <v/>
      </c>
      <c r="Z33" s="22">
        <f>IF(DAY(DATE(PORTADA!$B$2,2,29))&lt;&gt;29,"",SUMIFS(MOVIMIENTOS!$F:$F,MOVIMIENTOS!$A:$A,DATE(PORTADA!$B$2,2,29),MOVIMIENTOS!$C:$C,Z$4))</f>
        <v/>
      </c>
      <c r="AA33" s="22">
        <f>IF(DAY(DATE(PORTADA!$B$2,2,29))&lt;&gt;29,"",SUM(T33:Z33))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SUMIFS(MOVIMIENTOS!$F:$F,MOVIMIENTOS!$A:$A,"&gt;="&amp;DATE(PORTADA!$B$2,2,1),MOVIMIENTOS!$A:$A,"&lt;="&amp;EOMONTH(DATE(PORTADA!$B$2,2,1),0),MOVIMIENTOS!$D:$D,$B34)</f>
        <v/>
      </c>
      <c r="E34" s="8">
        <f>C34-D34</f>
        <v/>
      </c>
      <c r="F34" s="9">
        <f>IFERROR(D34/C34,"")</f>
        <v/>
      </c>
      <c r="S34" s="21">
        <f>IF(DAY(DATE(PORTADA!$B$2,2,30))&lt;&gt;30,"",30)</f>
        <v/>
      </c>
      <c r="T34" s="22">
        <f>IF(DAY(DATE(PORTADA!$B$2,2,30))&lt;&gt;30,"",SUMIFS(MOVIMIENTOS!$F:$F,MOVIMIENTOS!$A:$A,DATE(PORTADA!$B$2,2,30),MOVIMIENTOS!$C:$C,T$4))</f>
        <v/>
      </c>
      <c r="U34" s="22">
        <f>IF(DAY(DATE(PORTADA!$B$2,2,30))&lt;&gt;30,"",SUMIFS(MOVIMIENTOS!$F:$F,MOVIMIENTOS!$A:$A,DATE(PORTADA!$B$2,2,30),MOVIMIENTOS!$C:$C,U$4))</f>
        <v/>
      </c>
      <c r="V34" s="22">
        <f>IF(DAY(DATE(PORTADA!$B$2,2,30))&lt;&gt;30,"",SUMIFS(MOVIMIENTOS!$F:$F,MOVIMIENTOS!$A:$A,DATE(PORTADA!$B$2,2,30),MOVIMIENTOS!$C:$C,V$4))</f>
        <v/>
      </c>
      <c r="W34" s="22">
        <f>IF(DAY(DATE(PORTADA!$B$2,2,30))&lt;&gt;30,"",SUMIFS(MOVIMIENTOS!$F:$F,MOVIMIENTOS!$A:$A,DATE(PORTADA!$B$2,2,30),MOVIMIENTOS!$C:$C,W$4))</f>
        <v/>
      </c>
      <c r="X34" s="22">
        <f>IF(DAY(DATE(PORTADA!$B$2,2,30))&lt;&gt;30,"",SUMIFS(MOVIMIENTOS!$F:$F,MOVIMIENTOS!$A:$A,DATE(PORTADA!$B$2,2,30),MOVIMIENTOS!$C:$C,X$4))</f>
        <v/>
      </c>
      <c r="Y34" s="22">
        <f>IF(DAY(DATE(PORTADA!$B$2,2,30))&lt;&gt;30,"",SUMIFS(MOVIMIENTOS!$F:$F,MOVIMIENTOS!$A:$A,DATE(PORTADA!$B$2,2,30),MOVIMIENTOS!$C:$C,Y$4))</f>
        <v/>
      </c>
      <c r="Z34" s="22">
        <f>IF(DAY(DATE(PORTADA!$B$2,2,30))&lt;&gt;30,"",SUMIFS(MOVIMIENTOS!$F:$F,MOVIMIENTOS!$A:$A,DATE(PORTADA!$B$2,2,30),MOVIMIENTOS!$C:$C,Z$4))</f>
        <v/>
      </c>
      <c r="AA34" s="22">
        <f>IF(DAY(DATE(PORTADA!$B$2,2,30))&lt;&gt;30,"",SUM(T34:Z34))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SUMIFS(MOVIMIENTOS!$F:$F,MOVIMIENTOS!$A:$A,"&gt;="&amp;DATE(PORTADA!$B$2,2,1),MOVIMIENTOS!$A:$A,"&lt;="&amp;EOMONTH(DATE(PORTADA!$B$2,2,1),0),MOVIMIENTOS!$D:$D,$B35)</f>
        <v/>
      </c>
      <c r="E35" s="8">
        <f>C35-D35</f>
        <v/>
      </c>
      <c r="F35" s="9">
        <f>IFERROR(D35/C35,"")</f>
        <v/>
      </c>
      <c r="S35" s="21">
        <f>IF(DAY(DATE(PORTADA!$B$2,2,31))&lt;&gt;31,"",31)</f>
        <v/>
      </c>
      <c r="T35" s="22">
        <f>IF(DAY(DATE(PORTADA!$B$2,2,31))&lt;&gt;31,"",SUMIFS(MOVIMIENTOS!$F:$F,MOVIMIENTOS!$A:$A,DATE(PORTADA!$B$2,2,31),MOVIMIENTOS!$C:$C,T$4))</f>
        <v/>
      </c>
      <c r="U35" s="22">
        <f>IF(DAY(DATE(PORTADA!$B$2,2,31))&lt;&gt;31,"",SUMIFS(MOVIMIENTOS!$F:$F,MOVIMIENTOS!$A:$A,DATE(PORTADA!$B$2,2,31),MOVIMIENTOS!$C:$C,U$4))</f>
        <v/>
      </c>
      <c r="V35" s="22">
        <f>IF(DAY(DATE(PORTADA!$B$2,2,31))&lt;&gt;31,"",SUMIFS(MOVIMIENTOS!$F:$F,MOVIMIENTOS!$A:$A,DATE(PORTADA!$B$2,2,31),MOVIMIENTOS!$C:$C,V$4))</f>
        <v/>
      </c>
      <c r="W35" s="22">
        <f>IF(DAY(DATE(PORTADA!$B$2,2,31))&lt;&gt;31,"",SUMIFS(MOVIMIENTOS!$F:$F,MOVIMIENTOS!$A:$A,DATE(PORTADA!$B$2,2,31),MOVIMIENTOS!$C:$C,W$4))</f>
        <v/>
      </c>
      <c r="X35" s="22">
        <f>IF(DAY(DATE(PORTADA!$B$2,2,31))&lt;&gt;31,"",SUMIFS(MOVIMIENTOS!$F:$F,MOVIMIENTOS!$A:$A,DATE(PORTADA!$B$2,2,31),MOVIMIENTOS!$C:$C,X$4))</f>
        <v/>
      </c>
      <c r="Y35" s="22">
        <f>IF(DAY(DATE(PORTADA!$B$2,2,31))&lt;&gt;31,"",SUMIFS(MOVIMIENTOS!$F:$F,MOVIMIENTOS!$A:$A,DATE(PORTADA!$B$2,2,31),MOVIMIENTOS!$C:$C,Y$4))</f>
        <v/>
      </c>
      <c r="Z35" s="22">
        <f>IF(DAY(DATE(PORTADA!$B$2,2,31))&lt;&gt;31,"",SUMIFS(MOVIMIENTOS!$F:$F,MOVIMIENTOS!$A:$A,DATE(PORTADA!$B$2,2,31),MOVIMIENTOS!$C:$C,Z$4))</f>
        <v/>
      </c>
      <c r="AA35" s="22">
        <f>IF(DAY(DATE(PORTADA!$B$2,2,31))&lt;&gt;31,"",SUM(T35:Z35))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SUMIFS(MOVIMIENTOS!$F:$F,MOVIMIENTOS!$A:$A,"&gt;="&amp;DATE(PORTADA!$B$2,2,1),MOVIMIENTOS!$A:$A,"&lt;="&amp;EOMONTH(DATE(PORTADA!$B$2,2,1),0),MOVIMIENTOS!$D:$D,$B36)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SUMIFS(MOVIMIENTOS!$F:$F,MOVIMIENTOS!$A:$A,"&gt;="&amp;DATE(PORTADA!$B$2,2,1),MOVIMIENTOS!$A:$A,"&lt;="&amp;EOMONTH(DATE(PORTADA!$B$2,2,1),0),MOVIMIENTOS!$D:$D,$B37)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SUMIFS(MOVIMIENTOS!$F:$F,MOVIMIENTOS!$A:$A,"&gt;="&amp;DATE(PORTADA!$B$2,2,1),MOVIMIENTOS!$A:$A,"&lt;="&amp;EOMONTH(DATE(PORTADA!$B$2,2,1),0),MOVIMIENTOS!$D:$D,$B38)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SUMIFS(MOVIMIENTOS!$F:$F,MOVIMIENTOS!$A:$A,"&gt;="&amp;DATE(PORTADA!$B$2,2,1),MOVIMIENTOS!$A:$A,"&lt;="&amp;EOMONTH(DATE(PORTADA!$B$2,2,1),0),MOVIMIENTOS!$D:$D,$B39)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SUMIFS(MOVIMIENTOS!$F:$F,MOVIMIENTOS!$A:$A,"&gt;="&amp;DATE(PORTADA!$B$2,2,1),MOVIMIENTOS!$A:$A,"&lt;="&amp;EOMONTH(DATE(PORTADA!$B$2,2,1),0),MOVIMIENTOS!$E:$E,"GASTO")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SUMIFS(MOVIMIENTOS!$F:$F,MOVIMIENTOS!$A:$A,"&gt;="&amp;DATE(PORTADA!$B$2,2,1),MOVIMIENTOS!$A:$A,"&lt;="&amp;EOMONTH(DATE(PORTADA!$B$2,2,1),0),MOVIMIENTOS!$E:$E,"AHORRO")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SUMIFS(MOVIMIENTOS!$F:$F,MOVIMIENTOS!$A:$A,"&gt;="&amp;DATE(PORTADA!$B$2,2,1),MOVIMIENTOS!$A:$A,"&lt;="&amp;EOMONTH(DATE(PORTADA!$B$2,2,1),0),MOVIMIENTOS!$E:$E,"DEUDA")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MARZO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IF(DAY(DATE(PORTADA!$B$2,3,1))&lt;&gt;1,"",1)</f>
        <v/>
      </c>
      <c r="T5" s="22">
        <f>IF(DAY(DATE(PORTADA!$B$2,3,1))&lt;&gt;1,"",SUMIFS(MOVIMIENTOS!$F:$F,MOVIMIENTOS!$A:$A,DATE(PORTADA!$B$2,3,1),MOVIMIENTOS!$C:$C,T$4))</f>
        <v/>
      </c>
      <c r="U5" s="22">
        <f>IF(DAY(DATE(PORTADA!$B$2,3,1))&lt;&gt;1,"",SUMIFS(MOVIMIENTOS!$F:$F,MOVIMIENTOS!$A:$A,DATE(PORTADA!$B$2,3,1),MOVIMIENTOS!$C:$C,U$4))</f>
        <v/>
      </c>
      <c r="V5" s="22">
        <f>IF(DAY(DATE(PORTADA!$B$2,3,1))&lt;&gt;1,"",SUMIFS(MOVIMIENTOS!$F:$F,MOVIMIENTOS!$A:$A,DATE(PORTADA!$B$2,3,1),MOVIMIENTOS!$C:$C,V$4))</f>
        <v/>
      </c>
      <c r="W5" s="22">
        <f>IF(DAY(DATE(PORTADA!$B$2,3,1))&lt;&gt;1,"",SUMIFS(MOVIMIENTOS!$F:$F,MOVIMIENTOS!$A:$A,DATE(PORTADA!$B$2,3,1),MOVIMIENTOS!$C:$C,W$4))</f>
        <v/>
      </c>
      <c r="X5" s="22">
        <f>IF(DAY(DATE(PORTADA!$B$2,3,1))&lt;&gt;1,"",SUMIFS(MOVIMIENTOS!$F:$F,MOVIMIENTOS!$A:$A,DATE(PORTADA!$B$2,3,1),MOVIMIENTOS!$C:$C,X$4))</f>
        <v/>
      </c>
      <c r="Y5" s="22">
        <f>IF(DAY(DATE(PORTADA!$B$2,3,1))&lt;&gt;1,"",SUMIFS(MOVIMIENTOS!$F:$F,MOVIMIENTOS!$A:$A,DATE(PORTADA!$B$2,3,1),MOVIMIENTOS!$C:$C,Y$4))</f>
        <v/>
      </c>
      <c r="Z5" s="22">
        <f>IF(DAY(DATE(PORTADA!$B$2,3,1))&lt;&gt;1,"",SUMIFS(MOVIMIENTOS!$F:$F,MOVIMIENTOS!$A:$A,DATE(PORTADA!$B$2,3,1),MOVIMIENTOS!$C:$C,Z$4))</f>
        <v/>
      </c>
      <c r="AA5" s="22">
        <f>IF(DAY(DATE(PORTADA!$B$2,3,1))&lt;&gt;1,"",SUM(T5:Z5))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SUMIFS(MOVIMIENTOS!$F:$F,MOVIMIENTOS!$A:$A,"&gt;="&amp;DATE(PORTADA!$B$2,3,1),MOVIMIENTOS!$A:$A,"&lt;="&amp;EOMONTH(DATE(PORTADA!$B$2,3,1),0),MOVIMIENTOS!$D:$D,$B6)</f>
        <v/>
      </c>
      <c r="E6" s="8">
        <f>D6-C6</f>
        <v/>
      </c>
      <c r="F6" s="9">
        <f>IFERROR(D6/C6,"")</f>
        <v/>
      </c>
      <c r="S6" s="21">
        <f>IF(DAY(DATE(PORTADA!$B$2,3,2))&lt;&gt;2,"",2)</f>
        <v/>
      </c>
      <c r="T6" s="22">
        <f>IF(DAY(DATE(PORTADA!$B$2,3,2))&lt;&gt;2,"",SUMIFS(MOVIMIENTOS!$F:$F,MOVIMIENTOS!$A:$A,DATE(PORTADA!$B$2,3,2),MOVIMIENTOS!$C:$C,T$4))</f>
        <v/>
      </c>
      <c r="U6" s="22">
        <f>IF(DAY(DATE(PORTADA!$B$2,3,2))&lt;&gt;2,"",SUMIFS(MOVIMIENTOS!$F:$F,MOVIMIENTOS!$A:$A,DATE(PORTADA!$B$2,3,2),MOVIMIENTOS!$C:$C,U$4))</f>
        <v/>
      </c>
      <c r="V6" s="22">
        <f>IF(DAY(DATE(PORTADA!$B$2,3,2))&lt;&gt;2,"",SUMIFS(MOVIMIENTOS!$F:$F,MOVIMIENTOS!$A:$A,DATE(PORTADA!$B$2,3,2),MOVIMIENTOS!$C:$C,V$4))</f>
        <v/>
      </c>
      <c r="W6" s="22">
        <f>IF(DAY(DATE(PORTADA!$B$2,3,2))&lt;&gt;2,"",SUMIFS(MOVIMIENTOS!$F:$F,MOVIMIENTOS!$A:$A,DATE(PORTADA!$B$2,3,2),MOVIMIENTOS!$C:$C,W$4))</f>
        <v/>
      </c>
      <c r="X6" s="22">
        <f>IF(DAY(DATE(PORTADA!$B$2,3,2))&lt;&gt;2,"",SUMIFS(MOVIMIENTOS!$F:$F,MOVIMIENTOS!$A:$A,DATE(PORTADA!$B$2,3,2),MOVIMIENTOS!$C:$C,X$4))</f>
        <v/>
      </c>
      <c r="Y6" s="22">
        <f>IF(DAY(DATE(PORTADA!$B$2,3,2))&lt;&gt;2,"",SUMIFS(MOVIMIENTOS!$F:$F,MOVIMIENTOS!$A:$A,DATE(PORTADA!$B$2,3,2),MOVIMIENTOS!$C:$C,Y$4))</f>
        <v/>
      </c>
      <c r="Z6" s="22">
        <f>IF(DAY(DATE(PORTADA!$B$2,3,2))&lt;&gt;2,"",SUMIFS(MOVIMIENTOS!$F:$F,MOVIMIENTOS!$A:$A,DATE(PORTADA!$B$2,3,2),MOVIMIENTOS!$C:$C,Z$4))</f>
        <v/>
      </c>
      <c r="AA6" s="22">
        <f>IF(DAY(DATE(PORTADA!$B$2,3,2))&lt;&gt;2,"",SUM(T6:Z6))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SUMIFS(MOVIMIENTOS!$F:$F,MOVIMIENTOS!$A:$A,"&gt;="&amp;DATE(PORTADA!$B$2,3,1),MOVIMIENTOS!$A:$A,"&lt;="&amp;EOMONTH(DATE(PORTADA!$B$2,3,1),0),MOVIMIENTOS!$D:$D,$B7)</f>
        <v/>
      </c>
      <c r="E7" s="8">
        <f>D7-C7</f>
        <v/>
      </c>
      <c r="F7" s="9">
        <f>IFERROR(D7/C7,"")</f>
        <v/>
      </c>
      <c r="S7" s="21">
        <f>IF(DAY(DATE(PORTADA!$B$2,3,3))&lt;&gt;3,"",3)</f>
        <v/>
      </c>
      <c r="T7" s="22">
        <f>IF(DAY(DATE(PORTADA!$B$2,3,3))&lt;&gt;3,"",SUMIFS(MOVIMIENTOS!$F:$F,MOVIMIENTOS!$A:$A,DATE(PORTADA!$B$2,3,3),MOVIMIENTOS!$C:$C,T$4))</f>
        <v/>
      </c>
      <c r="U7" s="22">
        <f>IF(DAY(DATE(PORTADA!$B$2,3,3))&lt;&gt;3,"",SUMIFS(MOVIMIENTOS!$F:$F,MOVIMIENTOS!$A:$A,DATE(PORTADA!$B$2,3,3),MOVIMIENTOS!$C:$C,U$4))</f>
        <v/>
      </c>
      <c r="V7" s="22">
        <f>IF(DAY(DATE(PORTADA!$B$2,3,3))&lt;&gt;3,"",SUMIFS(MOVIMIENTOS!$F:$F,MOVIMIENTOS!$A:$A,DATE(PORTADA!$B$2,3,3),MOVIMIENTOS!$C:$C,V$4))</f>
        <v/>
      </c>
      <c r="W7" s="22">
        <f>IF(DAY(DATE(PORTADA!$B$2,3,3))&lt;&gt;3,"",SUMIFS(MOVIMIENTOS!$F:$F,MOVIMIENTOS!$A:$A,DATE(PORTADA!$B$2,3,3),MOVIMIENTOS!$C:$C,W$4))</f>
        <v/>
      </c>
      <c r="X7" s="22">
        <f>IF(DAY(DATE(PORTADA!$B$2,3,3))&lt;&gt;3,"",SUMIFS(MOVIMIENTOS!$F:$F,MOVIMIENTOS!$A:$A,DATE(PORTADA!$B$2,3,3),MOVIMIENTOS!$C:$C,X$4))</f>
        <v/>
      </c>
      <c r="Y7" s="22">
        <f>IF(DAY(DATE(PORTADA!$B$2,3,3))&lt;&gt;3,"",SUMIFS(MOVIMIENTOS!$F:$F,MOVIMIENTOS!$A:$A,DATE(PORTADA!$B$2,3,3),MOVIMIENTOS!$C:$C,Y$4))</f>
        <v/>
      </c>
      <c r="Z7" s="22">
        <f>IF(DAY(DATE(PORTADA!$B$2,3,3))&lt;&gt;3,"",SUMIFS(MOVIMIENTOS!$F:$F,MOVIMIENTOS!$A:$A,DATE(PORTADA!$B$2,3,3),MOVIMIENTOS!$C:$C,Z$4))</f>
        <v/>
      </c>
      <c r="AA7" s="22">
        <f>IF(DAY(DATE(PORTADA!$B$2,3,3))&lt;&gt;3,"",SUM(T7:Z7))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SUMIFS(MOVIMIENTOS!$F:$F,MOVIMIENTOS!$A:$A,"&gt;="&amp;DATE(PORTADA!$B$2,3,1),MOVIMIENTOS!$A:$A,"&lt;="&amp;EOMONTH(DATE(PORTADA!$B$2,3,1),0),MOVIMIENTOS!$D:$D,$B8)</f>
        <v/>
      </c>
      <c r="E8" s="8">
        <f>D8-C8</f>
        <v/>
      </c>
      <c r="F8" s="9">
        <f>IFERROR(D8/C8,"")</f>
        <v/>
      </c>
      <c r="S8" s="21">
        <f>IF(DAY(DATE(PORTADA!$B$2,3,4))&lt;&gt;4,"",4)</f>
        <v/>
      </c>
      <c r="T8" s="22">
        <f>IF(DAY(DATE(PORTADA!$B$2,3,4))&lt;&gt;4,"",SUMIFS(MOVIMIENTOS!$F:$F,MOVIMIENTOS!$A:$A,DATE(PORTADA!$B$2,3,4),MOVIMIENTOS!$C:$C,T$4))</f>
        <v/>
      </c>
      <c r="U8" s="22">
        <f>IF(DAY(DATE(PORTADA!$B$2,3,4))&lt;&gt;4,"",SUMIFS(MOVIMIENTOS!$F:$F,MOVIMIENTOS!$A:$A,DATE(PORTADA!$B$2,3,4),MOVIMIENTOS!$C:$C,U$4))</f>
        <v/>
      </c>
      <c r="V8" s="22">
        <f>IF(DAY(DATE(PORTADA!$B$2,3,4))&lt;&gt;4,"",SUMIFS(MOVIMIENTOS!$F:$F,MOVIMIENTOS!$A:$A,DATE(PORTADA!$B$2,3,4),MOVIMIENTOS!$C:$C,V$4))</f>
        <v/>
      </c>
      <c r="W8" s="22">
        <f>IF(DAY(DATE(PORTADA!$B$2,3,4))&lt;&gt;4,"",SUMIFS(MOVIMIENTOS!$F:$F,MOVIMIENTOS!$A:$A,DATE(PORTADA!$B$2,3,4),MOVIMIENTOS!$C:$C,W$4))</f>
        <v/>
      </c>
      <c r="X8" s="22">
        <f>IF(DAY(DATE(PORTADA!$B$2,3,4))&lt;&gt;4,"",SUMIFS(MOVIMIENTOS!$F:$F,MOVIMIENTOS!$A:$A,DATE(PORTADA!$B$2,3,4),MOVIMIENTOS!$C:$C,X$4))</f>
        <v/>
      </c>
      <c r="Y8" s="22">
        <f>IF(DAY(DATE(PORTADA!$B$2,3,4))&lt;&gt;4,"",SUMIFS(MOVIMIENTOS!$F:$F,MOVIMIENTOS!$A:$A,DATE(PORTADA!$B$2,3,4),MOVIMIENTOS!$C:$C,Y$4))</f>
        <v/>
      </c>
      <c r="Z8" s="22">
        <f>IF(DAY(DATE(PORTADA!$B$2,3,4))&lt;&gt;4,"",SUMIFS(MOVIMIENTOS!$F:$F,MOVIMIENTOS!$A:$A,DATE(PORTADA!$B$2,3,4),MOVIMIENTOS!$C:$C,Z$4))</f>
        <v/>
      </c>
      <c r="AA8" s="22">
        <f>IF(DAY(DATE(PORTADA!$B$2,3,4))&lt;&gt;4,"",SUM(T8:Z8))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SUMIFS(MOVIMIENTOS!$F:$F,MOVIMIENTOS!$A:$A,"&gt;="&amp;DATE(PORTADA!$B$2,3,1),MOVIMIENTOS!$A:$A,"&lt;="&amp;EOMONTH(DATE(PORTADA!$B$2,3,1),0),MOVIMIENTOS!$D:$D,$B9)</f>
        <v/>
      </c>
      <c r="E9" s="8">
        <f>D9-C9</f>
        <v/>
      </c>
      <c r="F9" s="9">
        <f>IFERROR(D9/C9,"")</f>
        <v/>
      </c>
      <c r="S9" s="21">
        <f>IF(DAY(DATE(PORTADA!$B$2,3,5))&lt;&gt;5,"",5)</f>
        <v/>
      </c>
      <c r="T9" s="22">
        <f>IF(DAY(DATE(PORTADA!$B$2,3,5))&lt;&gt;5,"",SUMIFS(MOVIMIENTOS!$F:$F,MOVIMIENTOS!$A:$A,DATE(PORTADA!$B$2,3,5),MOVIMIENTOS!$C:$C,T$4))</f>
        <v/>
      </c>
      <c r="U9" s="22">
        <f>IF(DAY(DATE(PORTADA!$B$2,3,5))&lt;&gt;5,"",SUMIFS(MOVIMIENTOS!$F:$F,MOVIMIENTOS!$A:$A,DATE(PORTADA!$B$2,3,5),MOVIMIENTOS!$C:$C,U$4))</f>
        <v/>
      </c>
      <c r="V9" s="22">
        <f>IF(DAY(DATE(PORTADA!$B$2,3,5))&lt;&gt;5,"",SUMIFS(MOVIMIENTOS!$F:$F,MOVIMIENTOS!$A:$A,DATE(PORTADA!$B$2,3,5),MOVIMIENTOS!$C:$C,V$4))</f>
        <v/>
      </c>
      <c r="W9" s="22">
        <f>IF(DAY(DATE(PORTADA!$B$2,3,5))&lt;&gt;5,"",SUMIFS(MOVIMIENTOS!$F:$F,MOVIMIENTOS!$A:$A,DATE(PORTADA!$B$2,3,5),MOVIMIENTOS!$C:$C,W$4))</f>
        <v/>
      </c>
      <c r="X9" s="22">
        <f>IF(DAY(DATE(PORTADA!$B$2,3,5))&lt;&gt;5,"",SUMIFS(MOVIMIENTOS!$F:$F,MOVIMIENTOS!$A:$A,DATE(PORTADA!$B$2,3,5),MOVIMIENTOS!$C:$C,X$4))</f>
        <v/>
      </c>
      <c r="Y9" s="22">
        <f>IF(DAY(DATE(PORTADA!$B$2,3,5))&lt;&gt;5,"",SUMIFS(MOVIMIENTOS!$F:$F,MOVIMIENTOS!$A:$A,DATE(PORTADA!$B$2,3,5),MOVIMIENTOS!$C:$C,Y$4))</f>
        <v/>
      </c>
      <c r="Z9" s="22">
        <f>IF(DAY(DATE(PORTADA!$B$2,3,5))&lt;&gt;5,"",SUMIFS(MOVIMIENTOS!$F:$F,MOVIMIENTOS!$A:$A,DATE(PORTADA!$B$2,3,5),MOVIMIENTOS!$C:$C,Z$4))</f>
        <v/>
      </c>
      <c r="AA9" s="22">
        <f>IF(DAY(DATE(PORTADA!$B$2,3,5))&lt;&gt;5,"",SUM(T9:Z9))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SUMIFS(MOVIMIENTOS!$F:$F,MOVIMIENTOS!$A:$A,"&gt;="&amp;DATE(PORTADA!$B$2,3,1),MOVIMIENTOS!$A:$A,"&lt;="&amp;EOMONTH(DATE(PORTADA!$B$2,3,1),0),MOVIMIENTOS!$D:$D,$B10)</f>
        <v/>
      </c>
      <c r="E10" s="8">
        <f>D10-C10</f>
        <v/>
      </c>
      <c r="F10" s="9">
        <f>IFERROR(D10/C10,"")</f>
        <v/>
      </c>
      <c r="S10" s="21">
        <f>IF(DAY(DATE(PORTADA!$B$2,3,6))&lt;&gt;6,"",6)</f>
        <v/>
      </c>
      <c r="T10" s="22">
        <f>IF(DAY(DATE(PORTADA!$B$2,3,6))&lt;&gt;6,"",SUMIFS(MOVIMIENTOS!$F:$F,MOVIMIENTOS!$A:$A,DATE(PORTADA!$B$2,3,6),MOVIMIENTOS!$C:$C,T$4))</f>
        <v/>
      </c>
      <c r="U10" s="22">
        <f>IF(DAY(DATE(PORTADA!$B$2,3,6))&lt;&gt;6,"",SUMIFS(MOVIMIENTOS!$F:$F,MOVIMIENTOS!$A:$A,DATE(PORTADA!$B$2,3,6),MOVIMIENTOS!$C:$C,U$4))</f>
        <v/>
      </c>
      <c r="V10" s="22">
        <f>IF(DAY(DATE(PORTADA!$B$2,3,6))&lt;&gt;6,"",SUMIFS(MOVIMIENTOS!$F:$F,MOVIMIENTOS!$A:$A,DATE(PORTADA!$B$2,3,6),MOVIMIENTOS!$C:$C,V$4))</f>
        <v/>
      </c>
      <c r="W10" s="22">
        <f>IF(DAY(DATE(PORTADA!$B$2,3,6))&lt;&gt;6,"",SUMIFS(MOVIMIENTOS!$F:$F,MOVIMIENTOS!$A:$A,DATE(PORTADA!$B$2,3,6),MOVIMIENTOS!$C:$C,W$4))</f>
        <v/>
      </c>
      <c r="X10" s="22">
        <f>IF(DAY(DATE(PORTADA!$B$2,3,6))&lt;&gt;6,"",SUMIFS(MOVIMIENTOS!$F:$F,MOVIMIENTOS!$A:$A,DATE(PORTADA!$B$2,3,6),MOVIMIENTOS!$C:$C,X$4))</f>
        <v/>
      </c>
      <c r="Y10" s="22">
        <f>IF(DAY(DATE(PORTADA!$B$2,3,6))&lt;&gt;6,"",SUMIFS(MOVIMIENTOS!$F:$F,MOVIMIENTOS!$A:$A,DATE(PORTADA!$B$2,3,6),MOVIMIENTOS!$C:$C,Y$4))</f>
        <v/>
      </c>
      <c r="Z10" s="22">
        <f>IF(DAY(DATE(PORTADA!$B$2,3,6))&lt;&gt;6,"",SUMIFS(MOVIMIENTOS!$F:$F,MOVIMIENTOS!$A:$A,DATE(PORTADA!$B$2,3,6),MOVIMIENTOS!$C:$C,Z$4))</f>
        <v/>
      </c>
      <c r="AA10" s="22">
        <f>IF(DAY(DATE(PORTADA!$B$2,3,6))&lt;&gt;6,"",SUM(T10:Z10))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SUMIFS(MOVIMIENTOS!$F:$F,MOVIMIENTOS!$A:$A,"&gt;="&amp;DATE(PORTADA!$B$2,3,1),MOVIMIENTOS!$A:$A,"&lt;="&amp;EOMONTH(DATE(PORTADA!$B$2,3,1),0),MOVIMIENTOS!$D:$D,$B11)</f>
        <v/>
      </c>
      <c r="E11" s="8">
        <f>D11-C11</f>
        <v/>
      </c>
      <c r="F11" s="9">
        <f>IFERROR(D11/C11,"")</f>
        <v/>
      </c>
      <c r="S11" s="21">
        <f>IF(DAY(DATE(PORTADA!$B$2,3,7))&lt;&gt;7,"",7)</f>
        <v/>
      </c>
      <c r="T11" s="22">
        <f>IF(DAY(DATE(PORTADA!$B$2,3,7))&lt;&gt;7,"",SUMIFS(MOVIMIENTOS!$F:$F,MOVIMIENTOS!$A:$A,DATE(PORTADA!$B$2,3,7),MOVIMIENTOS!$C:$C,T$4))</f>
        <v/>
      </c>
      <c r="U11" s="22">
        <f>IF(DAY(DATE(PORTADA!$B$2,3,7))&lt;&gt;7,"",SUMIFS(MOVIMIENTOS!$F:$F,MOVIMIENTOS!$A:$A,DATE(PORTADA!$B$2,3,7),MOVIMIENTOS!$C:$C,U$4))</f>
        <v/>
      </c>
      <c r="V11" s="22">
        <f>IF(DAY(DATE(PORTADA!$B$2,3,7))&lt;&gt;7,"",SUMIFS(MOVIMIENTOS!$F:$F,MOVIMIENTOS!$A:$A,DATE(PORTADA!$B$2,3,7),MOVIMIENTOS!$C:$C,V$4))</f>
        <v/>
      </c>
      <c r="W11" s="22">
        <f>IF(DAY(DATE(PORTADA!$B$2,3,7))&lt;&gt;7,"",SUMIFS(MOVIMIENTOS!$F:$F,MOVIMIENTOS!$A:$A,DATE(PORTADA!$B$2,3,7),MOVIMIENTOS!$C:$C,W$4))</f>
        <v/>
      </c>
      <c r="X11" s="22">
        <f>IF(DAY(DATE(PORTADA!$B$2,3,7))&lt;&gt;7,"",SUMIFS(MOVIMIENTOS!$F:$F,MOVIMIENTOS!$A:$A,DATE(PORTADA!$B$2,3,7),MOVIMIENTOS!$C:$C,X$4))</f>
        <v/>
      </c>
      <c r="Y11" s="22">
        <f>IF(DAY(DATE(PORTADA!$B$2,3,7))&lt;&gt;7,"",SUMIFS(MOVIMIENTOS!$F:$F,MOVIMIENTOS!$A:$A,DATE(PORTADA!$B$2,3,7),MOVIMIENTOS!$C:$C,Y$4))</f>
        <v/>
      </c>
      <c r="Z11" s="22">
        <f>IF(DAY(DATE(PORTADA!$B$2,3,7))&lt;&gt;7,"",SUMIFS(MOVIMIENTOS!$F:$F,MOVIMIENTOS!$A:$A,DATE(PORTADA!$B$2,3,7),MOVIMIENTOS!$C:$C,Z$4))</f>
        <v/>
      </c>
      <c r="AA11" s="22">
        <f>IF(DAY(DATE(PORTADA!$B$2,3,7))&lt;&gt;7,"",SUM(T11:Z11))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SUMIFS(MOVIMIENTOS!$F:$F,MOVIMIENTOS!$A:$A,"&gt;="&amp;DATE(PORTADA!$B$2,3,1),MOVIMIENTOS!$A:$A,"&lt;="&amp;EOMONTH(DATE(PORTADA!$B$2,3,1),0),MOVIMIENTOS!$D:$D,$B12)</f>
        <v/>
      </c>
      <c r="E12" s="8">
        <f>D12-C12</f>
        <v/>
      </c>
      <c r="F12" s="9">
        <f>IFERROR(D12/C12,"")</f>
        <v/>
      </c>
      <c r="S12" s="21">
        <f>IF(DAY(DATE(PORTADA!$B$2,3,8))&lt;&gt;8,"",8)</f>
        <v/>
      </c>
      <c r="T12" s="22">
        <f>IF(DAY(DATE(PORTADA!$B$2,3,8))&lt;&gt;8,"",SUMIFS(MOVIMIENTOS!$F:$F,MOVIMIENTOS!$A:$A,DATE(PORTADA!$B$2,3,8),MOVIMIENTOS!$C:$C,T$4))</f>
        <v/>
      </c>
      <c r="U12" s="22">
        <f>IF(DAY(DATE(PORTADA!$B$2,3,8))&lt;&gt;8,"",SUMIFS(MOVIMIENTOS!$F:$F,MOVIMIENTOS!$A:$A,DATE(PORTADA!$B$2,3,8),MOVIMIENTOS!$C:$C,U$4))</f>
        <v/>
      </c>
      <c r="V12" s="22">
        <f>IF(DAY(DATE(PORTADA!$B$2,3,8))&lt;&gt;8,"",SUMIFS(MOVIMIENTOS!$F:$F,MOVIMIENTOS!$A:$A,DATE(PORTADA!$B$2,3,8),MOVIMIENTOS!$C:$C,V$4))</f>
        <v/>
      </c>
      <c r="W12" s="22">
        <f>IF(DAY(DATE(PORTADA!$B$2,3,8))&lt;&gt;8,"",SUMIFS(MOVIMIENTOS!$F:$F,MOVIMIENTOS!$A:$A,DATE(PORTADA!$B$2,3,8),MOVIMIENTOS!$C:$C,W$4))</f>
        <v/>
      </c>
      <c r="X12" s="22">
        <f>IF(DAY(DATE(PORTADA!$B$2,3,8))&lt;&gt;8,"",SUMIFS(MOVIMIENTOS!$F:$F,MOVIMIENTOS!$A:$A,DATE(PORTADA!$B$2,3,8),MOVIMIENTOS!$C:$C,X$4))</f>
        <v/>
      </c>
      <c r="Y12" s="22">
        <f>IF(DAY(DATE(PORTADA!$B$2,3,8))&lt;&gt;8,"",SUMIFS(MOVIMIENTOS!$F:$F,MOVIMIENTOS!$A:$A,DATE(PORTADA!$B$2,3,8),MOVIMIENTOS!$C:$C,Y$4))</f>
        <v/>
      </c>
      <c r="Z12" s="22">
        <f>IF(DAY(DATE(PORTADA!$B$2,3,8))&lt;&gt;8,"",SUMIFS(MOVIMIENTOS!$F:$F,MOVIMIENTOS!$A:$A,DATE(PORTADA!$B$2,3,8),MOVIMIENTOS!$C:$C,Z$4))</f>
        <v/>
      </c>
      <c r="AA12" s="22">
        <f>IF(DAY(DATE(PORTADA!$B$2,3,8))&lt;&gt;8,"",SUM(T12:Z12))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IF(DAY(DATE(PORTADA!$B$2,3,9))&lt;&gt;9,"",9)</f>
        <v/>
      </c>
      <c r="T13" s="22">
        <f>IF(DAY(DATE(PORTADA!$B$2,3,9))&lt;&gt;9,"",SUMIFS(MOVIMIENTOS!$F:$F,MOVIMIENTOS!$A:$A,DATE(PORTADA!$B$2,3,9),MOVIMIENTOS!$C:$C,T$4))</f>
        <v/>
      </c>
      <c r="U13" s="22">
        <f>IF(DAY(DATE(PORTADA!$B$2,3,9))&lt;&gt;9,"",SUMIFS(MOVIMIENTOS!$F:$F,MOVIMIENTOS!$A:$A,DATE(PORTADA!$B$2,3,9),MOVIMIENTOS!$C:$C,U$4))</f>
        <v/>
      </c>
      <c r="V13" s="22">
        <f>IF(DAY(DATE(PORTADA!$B$2,3,9))&lt;&gt;9,"",SUMIFS(MOVIMIENTOS!$F:$F,MOVIMIENTOS!$A:$A,DATE(PORTADA!$B$2,3,9),MOVIMIENTOS!$C:$C,V$4))</f>
        <v/>
      </c>
      <c r="W13" s="22">
        <f>IF(DAY(DATE(PORTADA!$B$2,3,9))&lt;&gt;9,"",SUMIFS(MOVIMIENTOS!$F:$F,MOVIMIENTOS!$A:$A,DATE(PORTADA!$B$2,3,9),MOVIMIENTOS!$C:$C,W$4))</f>
        <v/>
      </c>
      <c r="X13" s="22">
        <f>IF(DAY(DATE(PORTADA!$B$2,3,9))&lt;&gt;9,"",SUMIFS(MOVIMIENTOS!$F:$F,MOVIMIENTOS!$A:$A,DATE(PORTADA!$B$2,3,9),MOVIMIENTOS!$C:$C,X$4))</f>
        <v/>
      </c>
      <c r="Y13" s="22">
        <f>IF(DAY(DATE(PORTADA!$B$2,3,9))&lt;&gt;9,"",SUMIFS(MOVIMIENTOS!$F:$F,MOVIMIENTOS!$A:$A,DATE(PORTADA!$B$2,3,9),MOVIMIENTOS!$C:$C,Y$4))</f>
        <v/>
      </c>
      <c r="Z13" s="22">
        <f>IF(DAY(DATE(PORTADA!$B$2,3,9))&lt;&gt;9,"",SUMIFS(MOVIMIENTOS!$F:$F,MOVIMIENTOS!$A:$A,DATE(PORTADA!$B$2,3,9),MOVIMIENTOS!$C:$C,Z$4))</f>
        <v/>
      </c>
      <c r="AA13" s="22">
        <f>IF(DAY(DATE(PORTADA!$B$2,3,9))&lt;&gt;9,"",SUM(T13:Z13))</f>
        <v/>
      </c>
    </row>
    <row r="14">
      <c r="S14" s="21">
        <f>IF(DAY(DATE(PORTADA!$B$2,3,10))&lt;&gt;10,"",10)</f>
        <v/>
      </c>
      <c r="T14" s="22">
        <f>IF(DAY(DATE(PORTADA!$B$2,3,10))&lt;&gt;10,"",SUMIFS(MOVIMIENTOS!$F:$F,MOVIMIENTOS!$A:$A,DATE(PORTADA!$B$2,3,10),MOVIMIENTOS!$C:$C,T$4))</f>
        <v/>
      </c>
      <c r="U14" s="22">
        <f>IF(DAY(DATE(PORTADA!$B$2,3,10))&lt;&gt;10,"",SUMIFS(MOVIMIENTOS!$F:$F,MOVIMIENTOS!$A:$A,DATE(PORTADA!$B$2,3,10),MOVIMIENTOS!$C:$C,U$4))</f>
        <v/>
      </c>
      <c r="V14" s="22">
        <f>IF(DAY(DATE(PORTADA!$B$2,3,10))&lt;&gt;10,"",SUMIFS(MOVIMIENTOS!$F:$F,MOVIMIENTOS!$A:$A,DATE(PORTADA!$B$2,3,10),MOVIMIENTOS!$C:$C,V$4))</f>
        <v/>
      </c>
      <c r="W14" s="22">
        <f>IF(DAY(DATE(PORTADA!$B$2,3,10))&lt;&gt;10,"",SUMIFS(MOVIMIENTOS!$F:$F,MOVIMIENTOS!$A:$A,DATE(PORTADA!$B$2,3,10),MOVIMIENTOS!$C:$C,W$4))</f>
        <v/>
      </c>
      <c r="X14" s="22">
        <f>IF(DAY(DATE(PORTADA!$B$2,3,10))&lt;&gt;10,"",SUMIFS(MOVIMIENTOS!$F:$F,MOVIMIENTOS!$A:$A,DATE(PORTADA!$B$2,3,10),MOVIMIENTOS!$C:$C,X$4))</f>
        <v/>
      </c>
      <c r="Y14" s="22">
        <f>IF(DAY(DATE(PORTADA!$B$2,3,10))&lt;&gt;10,"",SUMIFS(MOVIMIENTOS!$F:$F,MOVIMIENTOS!$A:$A,DATE(PORTADA!$B$2,3,10),MOVIMIENTOS!$C:$C,Y$4))</f>
        <v/>
      </c>
      <c r="Z14" s="22">
        <f>IF(DAY(DATE(PORTADA!$B$2,3,10))&lt;&gt;10,"",SUMIFS(MOVIMIENTOS!$F:$F,MOVIMIENTOS!$A:$A,DATE(PORTADA!$B$2,3,10),MOVIMIENTOS!$C:$C,Z$4))</f>
        <v/>
      </c>
      <c r="AA14" s="22">
        <f>IF(DAY(DATE(PORTADA!$B$2,3,10))&lt;&gt;10,"",SUM(T14:Z14))</f>
        <v/>
      </c>
    </row>
    <row r="15">
      <c r="A15" s="2" t="inlineStr">
        <is>
          <t>EGRESOS</t>
        </is>
      </c>
      <c r="S15" s="21">
        <f>IF(DAY(DATE(PORTADA!$B$2,3,11))&lt;&gt;11,"",11)</f>
        <v/>
      </c>
      <c r="T15" s="22">
        <f>IF(DAY(DATE(PORTADA!$B$2,3,11))&lt;&gt;11,"",SUMIFS(MOVIMIENTOS!$F:$F,MOVIMIENTOS!$A:$A,DATE(PORTADA!$B$2,3,11),MOVIMIENTOS!$C:$C,T$4))</f>
        <v/>
      </c>
      <c r="U15" s="22">
        <f>IF(DAY(DATE(PORTADA!$B$2,3,11))&lt;&gt;11,"",SUMIFS(MOVIMIENTOS!$F:$F,MOVIMIENTOS!$A:$A,DATE(PORTADA!$B$2,3,11),MOVIMIENTOS!$C:$C,U$4))</f>
        <v/>
      </c>
      <c r="V15" s="22">
        <f>IF(DAY(DATE(PORTADA!$B$2,3,11))&lt;&gt;11,"",SUMIFS(MOVIMIENTOS!$F:$F,MOVIMIENTOS!$A:$A,DATE(PORTADA!$B$2,3,11),MOVIMIENTOS!$C:$C,V$4))</f>
        <v/>
      </c>
      <c r="W15" s="22">
        <f>IF(DAY(DATE(PORTADA!$B$2,3,11))&lt;&gt;11,"",SUMIFS(MOVIMIENTOS!$F:$F,MOVIMIENTOS!$A:$A,DATE(PORTADA!$B$2,3,11),MOVIMIENTOS!$C:$C,W$4))</f>
        <v/>
      </c>
      <c r="X15" s="22">
        <f>IF(DAY(DATE(PORTADA!$B$2,3,11))&lt;&gt;11,"",SUMIFS(MOVIMIENTOS!$F:$F,MOVIMIENTOS!$A:$A,DATE(PORTADA!$B$2,3,11),MOVIMIENTOS!$C:$C,X$4))</f>
        <v/>
      </c>
      <c r="Y15" s="22">
        <f>IF(DAY(DATE(PORTADA!$B$2,3,11))&lt;&gt;11,"",SUMIFS(MOVIMIENTOS!$F:$F,MOVIMIENTOS!$A:$A,DATE(PORTADA!$B$2,3,11),MOVIMIENTOS!$C:$C,Y$4))</f>
        <v/>
      </c>
      <c r="Z15" s="22">
        <f>IF(DAY(DATE(PORTADA!$B$2,3,11))&lt;&gt;11,"",SUMIFS(MOVIMIENTOS!$F:$F,MOVIMIENTOS!$A:$A,DATE(PORTADA!$B$2,3,11),MOVIMIENTOS!$C:$C,Z$4))</f>
        <v/>
      </c>
      <c r="AA15" s="22">
        <f>IF(DAY(DATE(PORTADA!$B$2,3,11))&lt;&gt;11,"",SUM(T15:Z15))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IF(DAY(DATE(PORTADA!$B$2,3,12))&lt;&gt;12,"",12)</f>
        <v/>
      </c>
      <c r="T16" s="22">
        <f>IF(DAY(DATE(PORTADA!$B$2,3,12))&lt;&gt;12,"",SUMIFS(MOVIMIENTOS!$F:$F,MOVIMIENTOS!$A:$A,DATE(PORTADA!$B$2,3,12),MOVIMIENTOS!$C:$C,T$4))</f>
        <v/>
      </c>
      <c r="U16" s="22">
        <f>IF(DAY(DATE(PORTADA!$B$2,3,12))&lt;&gt;12,"",SUMIFS(MOVIMIENTOS!$F:$F,MOVIMIENTOS!$A:$A,DATE(PORTADA!$B$2,3,12),MOVIMIENTOS!$C:$C,U$4))</f>
        <v/>
      </c>
      <c r="V16" s="22">
        <f>IF(DAY(DATE(PORTADA!$B$2,3,12))&lt;&gt;12,"",SUMIFS(MOVIMIENTOS!$F:$F,MOVIMIENTOS!$A:$A,DATE(PORTADA!$B$2,3,12),MOVIMIENTOS!$C:$C,V$4))</f>
        <v/>
      </c>
      <c r="W16" s="22">
        <f>IF(DAY(DATE(PORTADA!$B$2,3,12))&lt;&gt;12,"",SUMIFS(MOVIMIENTOS!$F:$F,MOVIMIENTOS!$A:$A,DATE(PORTADA!$B$2,3,12),MOVIMIENTOS!$C:$C,W$4))</f>
        <v/>
      </c>
      <c r="X16" s="22">
        <f>IF(DAY(DATE(PORTADA!$B$2,3,12))&lt;&gt;12,"",SUMIFS(MOVIMIENTOS!$F:$F,MOVIMIENTOS!$A:$A,DATE(PORTADA!$B$2,3,12),MOVIMIENTOS!$C:$C,X$4))</f>
        <v/>
      </c>
      <c r="Y16" s="22">
        <f>IF(DAY(DATE(PORTADA!$B$2,3,12))&lt;&gt;12,"",SUMIFS(MOVIMIENTOS!$F:$F,MOVIMIENTOS!$A:$A,DATE(PORTADA!$B$2,3,12),MOVIMIENTOS!$C:$C,Y$4))</f>
        <v/>
      </c>
      <c r="Z16" s="22">
        <f>IF(DAY(DATE(PORTADA!$B$2,3,12))&lt;&gt;12,"",SUMIFS(MOVIMIENTOS!$F:$F,MOVIMIENTOS!$A:$A,DATE(PORTADA!$B$2,3,12),MOVIMIENTOS!$C:$C,Z$4))</f>
        <v/>
      </c>
      <c r="AA16" s="22">
        <f>IF(DAY(DATE(PORTADA!$B$2,3,12))&lt;&gt;12,"",SUM(T16:Z16))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SUMIFS(MOVIMIENTOS!$F:$F,MOVIMIENTOS!$A:$A,"&gt;="&amp;DATE(PORTADA!$B$2,3,1),MOVIMIENTOS!$A:$A,"&lt;="&amp;EOMONTH(DATE(PORTADA!$B$2,3,1),0),MOVIMIENTOS!$D:$D,$B17)</f>
        <v/>
      </c>
      <c r="E17" s="8">
        <f>C17-D17</f>
        <v/>
      </c>
      <c r="F17" s="9">
        <f>IFERROR(D17/C17,"")</f>
        <v/>
      </c>
      <c r="S17" s="21">
        <f>IF(DAY(DATE(PORTADA!$B$2,3,13))&lt;&gt;13,"",13)</f>
        <v/>
      </c>
      <c r="T17" s="22">
        <f>IF(DAY(DATE(PORTADA!$B$2,3,13))&lt;&gt;13,"",SUMIFS(MOVIMIENTOS!$F:$F,MOVIMIENTOS!$A:$A,DATE(PORTADA!$B$2,3,13),MOVIMIENTOS!$C:$C,T$4))</f>
        <v/>
      </c>
      <c r="U17" s="22">
        <f>IF(DAY(DATE(PORTADA!$B$2,3,13))&lt;&gt;13,"",SUMIFS(MOVIMIENTOS!$F:$F,MOVIMIENTOS!$A:$A,DATE(PORTADA!$B$2,3,13),MOVIMIENTOS!$C:$C,U$4))</f>
        <v/>
      </c>
      <c r="V17" s="22">
        <f>IF(DAY(DATE(PORTADA!$B$2,3,13))&lt;&gt;13,"",SUMIFS(MOVIMIENTOS!$F:$F,MOVIMIENTOS!$A:$A,DATE(PORTADA!$B$2,3,13),MOVIMIENTOS!$C:$C,V$4))</f>
        <v/>
      </c>
      <c r="W17" s="22">
        <f>IF(DAY(DATE(PORTADA!$B$2,3,13))&lt;&gt;13,"",SUMIFS(MOVIMIENTOS!$F:$F,MOVIMIENTOS!$A:$A,DATE(PORTADA!$B$2,3,13),MOVIMIENTOS!$C:$C,W$4))</f>
        <v/>
      </c>
      <c r="X17" s="22">
        <f>IF(DAY(DATE(PORTADA!$B$2,3,13))&lt;&gt;13,"",SUMIFS(MOVIMIENTOS!$F:$F,MOVIMIENTOS!$A:$A,DATE(PORTADA!$B$2,3,13),MOVIMIENTOS!$C:$C,X$4))</f>
        <v/>
      </c>
      <c r="Y17" s="22">
        <f>IF(DAY(DATE(PORTADA!$B$2,3,13))&lt;&gt;13,"",SUMIFS(MOVIMIENTOS!$F:$F,MOVIMIENTOS!$A:$A,DATE(PORTADA!$B$2,3,13),MOVIMIENTOS!$C:$C,Y$4))</f>
        <v/>
      </c>
      <c r="Z17" s="22">
        <f>IF(DAY(DATE(PORTADA!$B$2,3,13))&lt;&gt;13,"",SUMIFS(MOVIMIENTOS!$F:$F,MOVIMIENTOS!$A:$A,DATE(PORTADA!$B$2,3,13),MOVIMIENTOS!$C:$C,Z$4))</f>
        <v/>
      </c>
      <c r="AA17" s="22">
        <f>IF(DAY(DATE(PORTADA!$B$2,3,13))&lt;&gt;13,"",SUM(T17:Z17))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SUMIFS(MOVIMIENTOS!$F:$F,MOVIMIENTOS!$A:$A,"&gt;="&amp;DATE(PORTADA!$B$2,3,1),MOVIMIENTOS!$A:$A,"&lt;="&amp;EOMONTH(DATE(PORTADA!$B$2,3,1),0),MOVIMIENTOS!$D:$D,$B18)</f>
        <v/>
      </c>
      <c r="E18" s="8">
        <f>C18-D18</f>
        <v/>
      </c>
      <c r="F18" s="9">
        <f>IFERROR(D18/C18,"")</f>
        <v/>
      </c>
      <c r="S18" s="21">
        <f>IF(DAY(DATE(PORTADA!$B$2,3,14))&lt;&gt;14,"",14)</f>
        <v/>
      </c>
      <c r="T18" s="22">
        <f>IF(DAY(DATE(PORTADA!$B$2,3,14))&lt;&gt;14,"",SUMIFS(MOVIMIENTOS!$F:$F,MOVIMIENTOS!$A:$A,DATE(PORTADA!$B$2,3,14),MOVIMIENTOS!$C:$C,T$4))</f>
        <v/>
      </c>
      <c r="U18" s="22">
        <f>IF(DAY(DATE(PORTADA!$B$2,3,14))&lt;&gt;14,"",SUMIFS(MOVIMIENTOS!$F:$F,MOVIMIENTOS!$A:$A,DATE(PORTADA!$B$2,3,14),MOVIMIENTOS!$C:$C,U$4))</f>
        <v/>
      </c>
      <c r="V18" s="22">
        <f>IF(DAY(DATE(PORTADA!$B$2,3,14))&lt;&gt;14,"",SUMIFS(MOVIMIENTOS!$F:$F,MOVIMIENTOS!$A:$A,DATE(PORTADA!$B$2,3,14),MOVIMIENTOS!$C:$C,V$4))</f>
        <v/>
      </c>
      <c r="W18" s="22">
        <f>IF(DAY(DATE(PORTADA!$B$2,3,14))&lt;&gt;14,"",SUMIFS(MOVIMIENTOS!$F:$F,MOVIMIENTOS!$A:$A,DATE(PORTADA!$B$2,3,14),MOVIMIENTOS!$C:$C,W$4))</f>
        <v/>
      </c>
      <c r="X18" s="22">
        <f>IF(DAY(DATE(PORTADA!$B$2,3,14))&lt;&gt;14,"",SUMIFS(MOVIMIENTOS!$F:$F,MOVIMIENTOS!$A:$A,DATE(PORTADA!$B$2,3,14),MOVIMIENTOS!$C:$C,X$4))</f>
        <v/>
      </c>
      <c r="Y18" s="22">
        <f>IF(DAY(DATE(PORTADA!$B$2,3,14))&lt;&gt;14,"",SUMIFS(MOVIMIENTOS!$F:$F,MOVIMIENTOS!$A:$A,DATE(PORTADA!$B$2,3,14),MOVIMIENTOS!$C:$C,Y$4))</f>
        <v/>
      </c>
      <c r="Z18" s="22">
        <f>IF(DAY(DATE(PORTADA!$B$2,3,14))&lt;&gt;14,"",SUMIFS(MOVIMIENTOS!$F:$F,MOVIMIENTOS!$A:$A,DATE(PORTADA!$B$2,3,14),MOVIMIENTOS!$C:$C,Z$4))</f>
        <v/>
      </c>
      <c r="AA18" s="22">
        <f>IF(DAY(DATE(PORTADA!$B$2,3,14))&lt;&gt;14,"",SUM(T18:Z18))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SUMIFS(MOVIMIENTOS!$F:$F,MOVIMIENTOS!$A:$A,"&gt;="&amp;DATE(PORTADA!$B$2,3,1),MOVIMIENTOS!$A:$A,"&lt;="&amp;EOMONTH(DATE(PORTADA!$B$2,3,1),0),MOVIMIENTOS!$D:$D,$B19)</f>
        <v/>
      </c>
      <c r="E19" s="8">
        <f>C19-D19</f>
        <v/>
      </c>
      <c r="F19" s="9">
        <f>IFERROR(D19/C19,"")</f>
        <v/>
      </c>
      <c r="S19" s="21">
        <f>IF(DAY(DATE(PORTADA!$B$2,3,15))&lt;&gt;15,"",15)</f>
        <v/>
      </c>
      <c r="T19" s="22">
        <f>IF(DAY(DATE(PORTADA!$B$2,3,15))&lt;&gt;15,"",SUMIFS(MOVIMIENTOS!$F:$F,MOVIMIENTOS!$A:$A,DATE(PORTADA!$B$2,3,15),MOVIMIENTOS!$C:$C,T$4))</f>
        <v/>
      </c>
      <c r="U19" s="22">
        <f>IF(DAY(DATE(PORTADA!$B$2,3,15))&lt;&gt;15,"",SUMIFS(MOVIMIENTOS!$F:$F,MOVIMIENTOS!$A:$A,DATE(PORTADA!$B$2,3,15),MOVIMIENTOS!$C:$C,U$4))</f>
        <v/>
      </c>
      <c r="V19" s="22">
        <f>IF(DAY(DATE(PORTADA!$B$2,3,15))&lt;&gt;15,"",SUMIFS(MOVIMIENTOS!$F:$F,MOVIMIENTOS!$A:$A,DATE(PORTADA!$B$2,3,15),MOVIMIENTOS!$C:$C,V$4))</f>
        <v/>
      </c>
      <c r="W19" s="22">
        <f>IF(DAY(DATE(PORTADA!$B$2,3,15))&lt;&gt;15,"",SUMIFS(MOVIMIENTOS!$F:$F,MOVIMIENTOS!$A:$A,DATE(PORTADA!$B$2,3,15),MOVIMIENTOS!$C:$C,W$4))</f>
        <v/>
      </c>
      <c r="X19" s="22">
        <f>IF(DAY(DATE(PORTADA!$B$2,3,15))&lt;&gt;15,"",SUMIFS(MOVIMIENTOS!$F:$F,MOVIMIENTOS!$A:$A,DATE(PORTADA!$B$2,3,15),MOVIMIENTOS!$C:$C,X$4))</f>
        <v/>
      </c>
      <c r="Y19" s="22">
        <f>IF(DAY(DATE(PORTADA!$B$2,3,15))&lt;&gt;15,"",SUMIFS(MOVIMIENTOS!$F:$F,MOVIMIENTOS!$A:$A,DATE(PORTADA!$B$2,3,15),MOVIMIENTOS!$C:$C,Y$4))</f>
        <v/>
      </c>
      <c r="Z19" s="22">
        <f>IF(DAY(DATE(PORTADA!$B$2,3,15))&lt;&gt;15,"",SUMIFS(MOVIMIENTOS!$F:$F,MOVIMIENTOS!$A:$A,DATE(PORTADA!$B$2,3,15),MOVIMIENTOS!$C:$C,Z$4))</f>
        <v/>
      </c>
      <c r="AA19" s="22">
        <f>IF(DAY(DATE(PORTADA!$B$2,3,15))&lt;&gt;15,"",SUM(T19:Z19))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SUMIFS(MOVIMIENTOS!$F:$F,MOVIMIENTOS!$A:$A,"&gt;="&amp;DATE(PORTADA!$B$2,3,1),MOVIMIENTOS!$A:$A,"&lt;="&amp;EOMONTH(DATE(PORTADA!$B$2,3,1),0),MOVIMIENTOS!$D:$D,$B20)</f>
        <v/>
      </c>
      <c r="E20" s="8">
        <f>C20-D20</f>
        <v/>
      </c>
      <c r="F20" s="9">
        <f>IFERROR(D20/C20,"")</f>
        <v/>
      </c>
      <c r="S20" s="21">
        <f>IF(DAY(DATE(PORTADA!$B$2,3,16))&lt;&gt;16,"",16)</f>
        <v/>
      </c>
      <c r="T20" s="22">
        <f>IF(DAY(DATE(PORTADA!$B$2,3,16))&lt;&gt;16,"",SUMIFS(MOVIMIENTOS!$F:$F,MOVIMIENTOS!$A:$A,DATE(PORTADA!$B$2,3,16),MOVIMIENTOS!$C:$C,T$4))</f>
        <v/>
      </c>
      <c r="U20" s="22">
        <f>IF(DAY(DATE(PORTADA!$B$2,3,16))&lt;&gt;16,"",SUMIFS(MOVIMIENTOS!$F:$F,MOVIMIENTOS!$A:$A,DATE(PORTADA!$B$2,3,16),MOVIMIENTOS!$C:$C,U$4))</f>
        <v/>
      </c>
      <c r="V20" s="22">
        <f>IF(DAY(DATE(PORTADA!$B$2,3,16))&lt;&gt;16,"",SUMIFS(MOVIMIENTOS!$F:$F,MOVIMIENTOS!$A:$A,DATE(PORTADA!$B$2,3,16),MOVIMIENTOS!$C:$C,V$4))</f>
        <v/>
      </c>
      <c r="W20" s="22">
        <f>IF(DAY(DATE(PORTADA!$B$2,3,16))&lt;&gt;16,"",SUMIFS(MOVIMIENTOS!$F:$F,MOVIMIENTOS!$A:$A,DATE(PORTADA!$B$2,3,16),MOVIMIENTOS!$C:$C,W$4))</f>
        <v/>
      </c>
      <c r="X20" s="22">
        <f>IF(DAY(DATE(PORTADA!$B$2,3,16))&lt;&gt;16,"",SUMIFS(MOVIMIENTOS!$F:$F,MOVIMIENTOS!$A:$A,DATE(PORTADA!$B$2,3,16),MOVIMIENTOS!$C:$C,X$4))</f>
        <v/>
      </c>
      <c r="Y20" s="22">
        <f>IF(DAY(DATE(PORTADA!$B$2,3,16))&lt;&gt;16,"",SUMIFS(MOVIMIENTOS!$F:$F,MOVIMIENTOS!$A:$A,DATE(PORTADA!$B$2,3,16),MOVIMIENTOS!$C:$C,Y$4))</f>
        <v/>
      </c>
      <c r="Z20" s="22">
        <f>IF(DAY(DATE(PORTADA!$B$2,3,16))&lt;&gt;16,"",SUMIFS(MOVIMIENTOS!$F:$F,MOVIMIENTOS!$A:$A,DATE(PORTADA!$B$2,3,16),MOVIMIENTOS!$C:$C,Z$4))</f>
        <v/>
      </c>
      <c r="AA20" s="22">
        <f>IF(DAY(DATE(PORTADA!$B$2,3,16))&lt;&gt;16,"",SUM(T20:Z20))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SUMIFS(MOVIMIENTOS!$F:$F,MOVIMIENTOS!$A:$A,"&gt;="&amp;DATE(PORTADA!$B$2,3,1),MOVIMIENTOS!$A:$A,"&lt;="&amp;EOMONTH(DATE(PORTADA!$B$2,3,1),0),MOVIMIENTOS!$D:$D,$B21)</f>
        <v/>
      </c>
      <c r="E21" s="8">
        <f>C21-D21</f>
        <v/>
      </c>
      <c r="F21" s="9">
        <f>IFERROR(D21/C21,"")</f>
        <v/>
      </c>
      <c r="S21" s="21">
        <f>IF(DAY(DATE(PORTADA!$B$2,3,17))&lt;&gt;17,"",17)</f>
        <v/>
      </c>
      <c r="T21" s="22">
        <f>IF(DAY(DATE(PORTADA!$B$2,3,17))&lt;&gt;17,"",SUMIFS(MOVIMIENTOS!$F:$F,MOVIMIENTOS!$A:$A,DATE(PORTADA!$B$2,3,17),MOVIMIENTOS!$C:$C,T$4))</f>
        <v/>
      </c>
      <c r="U21" s="22">
        <f>IF(DAY(DATE(PORTADA!$B$2,3,17))&lt;&gt;17,"",SUMIFS(MOVIMIENTOS!$F:$F,MOVIMIENTOS!$A:$A,DATE(PORTADA!$B$2,3,17),MOVIMIENTOS!$C:$C,U$4))</f>
        <v/>
      </c>
      <c r="V21" s="22">
        <f>IF(DAY(DATE(PORTADA!$B$2,3,17))&lt;&gt;17,"",SUMIFS(MOVIMIENTOS!$F:$F,MOVIMIENTOS!$A:$A,DATE(PORTADA!$B$2,3,17),MOVIMIENTOS!$C:$C,V$4))</f>
        <v/>
      </c>
      <c r="W21" s="22">
        <f>IF(DAY(DATE(PORTADA!$B$2,3,17))&lt;&gt;17,"",SUMIFS(MOVIMIENTOS!$F:$F,MOVIMIENTOS!$A:$A,DATE(PORTADA!$B$2,3,17),MOVIMIENTOS!$C:$C,W$4))</f>
        <v/>
      </c>
      <c r="X21" s="22">
        <f>IF(DAY(DATE(PORTADA!$B$2,3,17))&lt;&gt;17,"",SUMIFS(MOVIMIENTOS!$F:$F,MOVIMIENTOS!$A:$A,DATE(PORTADA!$B$2,3,17),MOVIMIENTOS!$C:$C,X$4))</f>
        <v/>
      </c>
      <c r="Y21" s="22">
        <f>IF(DAY(DATE(PORTADA!$B$2,3,17))&lt;&gt;17,"",SUMIFS(MOVIMIENTOS!$F:$F,MOVIMIENTOS!$A:$A,DATE(PORTADA!$B$2,3,17),MOVIMIENTOS!$C:$C,Y$4))</f>
        <v/>
      </c>
      <c r="Z21" s="22">
        <f>IF(DAY(DATE(PORTADA!$B$2,3,17))&lt;&gt;17,"",SUMIFS(MOVIMIENTOS!$F:$F,MOVIMIENTOS!$A:$A,DATE(PORTADA!$B$2,3,17),MOVIMIENTOS!$C:$C,Z$4))</f>
        <v/>
      </c>
      <c r="AA21" s="22">
        <f>IF(DAY(DATE(PORTADA!$B$2,3,17))&lt;&gt;17,"",SUM(T21:Z21))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SUMIFS(MOVIMIENTOS!$F:$F,MOVIMIENTOS!$A:$A,"&gt;="&amp;DATE(PORTADA!$B$2,3,1),MOVIMIENTOS!$A:$A,"&lt;="&amp;EOMONTH(DATE(PORTADA!$B$2,3,1),0),MOVIMIENTOS!$D:$D,$B22)</f>
        <v/>
      </c>
      <c r="E22" s="8">
        <f>C22-D22</f>
        <v/>
      </c>
      <c r="F22" s="9">
        <f>IFERROR(D22/C22,"")</f>
        <v/>
      </c>
      <c r="S22" s="21">
        <f>IF(DAY(DATE(PORTADA!$B$2,3,18))&lt;&gt;18,"",18)</f>
        <v/>
      </c>
      <c r="T22" s="22">
        <f>IF(DAY(DATE(PORTADA!$B$2,3,18))&lt;&gt;18,"",SUMIFS(MOVIMIENTOS!$F:$F,MOVIMIENTOS!$A:$A,DATE(PORTADA!$B$2,3,18),MOVIMIENTOS!$C:$C,T$4))</f>
        <v/>
      </c>
      <c r="U22" s="22">
        <f>IF(DAY(DATE(PORTADA!$B$2,3,18))&lt;&gt;18,"",SUMIFS(MOVIMIENTOS!$F:$F,MOVIMIENTOS!$A:$A,DATE(PORTADA!$B$2,3,18),MOVIMIENTOS!$C:$C,U$4))</f>
        <v/>
      </c>
      <c r="V22" s="22">
        <f>IF(DAY(DATE(PORTADA!$B$2,3,18))&lt;&gt;18,"",SUMIFS(MOVIMIENTOS!$F:$F,MOVIMIENTOS!$A:$A,DATE(PORTADA!$B$2,3,18),MOVIMIENTOS!$C:$C,V$4))</f>
        <v/>
      </c>
      <c r="W22" s="22">
        <f>IF(DAY(DATE(PORTADA!$B$2,3,18))&lt;&gt;18,"",SUMIFS(MOVIMIENTOS!$F:$F,MOVIMIENTOS!$A:$A,DATE(PORTADA!$B$2,3,18),MOVIMIENTOS!$C:$C,W$4))</f>
        <v/>
      </c>
      <c r="X22" s="22">
        <f>IF(DAY(DATE(PORTADA!$B$2,3,18))&lt;&gt;18,"",SUMIFS(MOVIMIENTOS!$F:$F,MOVIMIENTOS!$A:$A,DATE(PORTADA!$B$2,3,18),MOVIMIENTOS!$C:$C,X$4))</f>
        <v/>
      </c>
      <c r="Y22" s="22">
        <f>IF(DAY(DATE(PORTADA!$B$2,3,18))&lt;&gt;18,"",SUMIFS(MOVIMIENTOS!$F:$F,MOVIMIENTOS!$A:$A,DATE(PORTADA!$B$2,3,18),MOVIMIENTOS!$C:$C,Y$4))</f>
        <v/>
      </c>
      <c r="Z22" s="22">
        <f>IF(DAY(DATE(PORTADA!$B$2,3,18))&lt;&gt;18,"",SUMIFS(MOVIMIENTOS!$F:$F,MOVIMIENTOS!$A:$A,DATE(PORTADA!$B$2,3,18),MOVIMIENTOS!$C:$C,Z$4))</f>
        <v/>
      </c>
      <c r="AA22" s="22">
        <f>IF(DAY(DATE(PORTADA!$B$2,3,18))&lt;&gt;18,"",SUM(T22:Z22))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SUMIFS(MOVIMIENTOS!$F:$F,MOVIMIENTOS!$A:$A,"&gt;="&amp;DATE(PORTADA!$B$2,3,1),MOVIMIENTOS!$A:$A,"&lt;="&amp;EOMONTH(DATE(PORTADA!$B$2,3,1),0),MOVIMIENTOS!$D:$D,$B23)</f>
        <v/>
      </c>
      <c r="E23" s="8">
        <f>C23-D23</f>
        <v/>
      </c>
      <c r="F23" s="9">
        <f>IFERROR(D23/C23,"")</f>
        <v/>
      </c>
      <c r="S23" s="21">
        <f>IF(DAY(DATE(PORTADA!$B$2,3,19))&lt;&gt;19,"",19)</f>
        <v/>
      </c>
      <c r="T23" s="22">
        <f>IF(DAY(DATE(PORTADA!$B$2,3,19))&lt;&gt;19,"",SUMIFS(MOVIMIENTOS!$F:$F,MOVIMIENTOS!$A:$A,DATE(PORTADA!$B$2,3,19),MOVIMIENTOS!$C:$C,T$4))</f>
        <v/>
      </c>
      <c r="U23" s="22">
        <f>IF(DAY(DATE(PORTADA!$B$2,3,19))&lt;&gt;19,"",SUMIFS(MOVIMIENTOS!$F:$F,MOVIMIENTOS!$A:$A,DATE(PORTADA!$B$2,3,19),MOVIMIENTOS!$C:$C,U$4))</f>
        <v/>
      </c>
      <c r="V23" s="22">
        <f>IF(DAY(DATE(PORTADA!$B$2,3,19))&lt;&gt;19,"",SUMIFS(MOVIMIENTOS!$F:$F,MOVIMIENTOS!$A:$A,DATE(PORTADA!$B$2,3,19),MOVIMIENTOS!$C:$C,V$4))</f>
        <v/>
      </c>
      <c r="W23" s="22">
        <f>IF(DAY(DATE(PORTADA!$B$2,3,19))&lt;&gt;19,"",SUMIFS(MOVIMIENTOS!$F:$F,MOVIMIENTOS!$A:$A,DATE(PORTADA!$B$2,3,19),MOVIMIENTOS!$C:$C,W$4))</f>
        <v/>
      </c>
      <c r="X23" s="22">
        <f>IF(DAY(DATE(PORTADA!$B$2,3,19))&lt;&gt;19,"",SUMIFS(MOVIMIENTOS!$F:$F,MOVIMIENTOS!$A:$A,DATE(PORTADA!$B$2,3,19),MOVIMIENTOS!$C:$C,X$4))</f>
        <v/>
      </c>
      <c r="Y23" s="22">
        <f>IF(DAY(DATE(PORTADA!$B$2,3,19))&lt;&gt;19,"",SUMIFS(MOVIMIENTOS!$F:$F,MOVIMIENTOS!$A:$A,DATE(PORTADA!$B$2,3,19),MOVIMIENTOS!$C:$C,Y$4))</f>
        <v/>
      </c>
      <c r="Z23" s="22">
        <f>IF(DAY(DATE(PORTADA!$B$2,3,19))&lt;&gt;19,"",SUMIFS(MOVIMIENTOS!$F:$F,MOVIMIENTOS!$A:$A,DATE(PORTADA!$B$2,3,19),MOVIMIENTOS!$C:$C,Z$4))</f>
        <v/>
      </c>
      <c r="AA23" s="22">
        <f>IF(DAY(DATE(PORTADA!$B$2,3,19))&lt;&gt;19,"",SUM(T23:Z23))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SUMIFS(MOVIMIENTOS!$F:$F,MOVIMIENTOS!$A:$A,"&gt;="&amp;DATE(PORTADA!$B$2,3,1),MOVIMIENTOS!$A:$A,"&lt;="&amp;EOMONTH(DATE(PORTADA!$B$2,3,1),0),MOVIMIENTOS!$D:$D,$B24)</f>
        <v/>
      </c>
      <c r="E24" s="8">
        <f>C24-D24</f>
        <v/>
      </c>
      <c r="F24" s="9">
        <f>IFERROR(D24/C24,"")</f>
        <v/>
      </c>
      <c r="S24" s="21">
        <f>IF(DAY(DATE(PORTADA!$B$2,3,20))&lt;&gt;20,"",20)</f>
        <v/>
      </c>
      <c r="T24" s="22">
        <f>IF(DAY(DATE(PORTADA!$B$2,3,20))&lt;&gt;20,"",SUMIFS(MOVIMIENTOS!$F:$F,MOVIMIENTOS!$A:$A,DATE(PORTADA!$B$2,3,20),MOVIMIENTOS!$C:$C,T$4))</f>
        <v/>
      </c>
      <c r="U24" s="22">
        <f>IF(DAY(DATE(PORTADA!$B$2,3,20))&lt;&gt;20,"",SUMIFS(MOVIMIENTOS!$F:$F,MOVIMIENTOS!$A:$A,DATE(PORTADA!$B$2,3,20),MOVIMIENTOS!$C:$C,U$4))</f>
        <v/>
      </c>
      <c r="V24" s="22">
        <f>IF(DAY(DATE(PORTADA!$B$2,3,20))&lt;&gt;20,"",SUMIFS(MOVIMIENTOS!$F:$F,MOVIMIENTOS!$A:$A,DATE(PORTADA!$B$2,3,20),MOVIMIENTOS!$C:$C,V$4))</f>
        <v/>
      </c>
      <c r="W24" s="22">
        <f>IF(DAY(DATE(PORTADA!$B$2,3,20))&lt;&gt;20,"",SUMIFS(MOVIMIENTOS!$F:$F,MOVIMIENTOS!$A:$A,DATE(PORTADA!$B$2,3,20),MOVIMIENTOS!$C:$C,W$4))</f>
        <v/>
      </c>
      <c r="X24" s="22">
        <f>IF(DAY(DATE(PORTADA!$B$2,3,20))&lt;&gt;20,"",SUMIFS(MOVIMIENTOS!$F:$F,MOVIMIENTOS!$A:$A,DATE(PORTADA!$B$2,3,20),MOVIMIENTOS!$C:$C,X$4))</f>
        <v/>
      </c>
      <c r="Y24" s="22">
        <f>IF(DAY(DATE(PORTADA!$B$2,3,20))&lt;&gt;20,"",SUMIFS(MOVIMIENTOS!$F:$F,MOVIMIENTOS!$A:$A,DATE(PORTADA!$B$2,3,20),MOVIMIENTOS!$C:$C,Y$4))</f>
        <v/>
      </c>
      <c r="Z24" s="22">
        <f>IF(DAY(DATE(PORTADA!$B$2,3,20))&lt;&gt;20,"",SUMIFS(MOVIMIENTOS!$F:$F,MOVIMIENTOS!$A:$A,DATE(PORTADA!$B$2,3,20),MOVIMIENTOS!$C:$C,Z$4))</f>
        <v/>
      </c>
      <c r="AA24" s="22">
        <f>IF(DAY(DATE(PORTADA!$B$2,3,20))&lt;&gt;20,"",SUM(T24:Z24))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SUMIFS(MOVIMIENTOS!$F:$F,MOVIMIENTOS!$A:$A,"&gt;="&amp;DATE(PORTADA!$B$2,3,1),MOVIMIENTOS!$A:$A,"&lt;="&amp;EOMONTH(DATE(PORTADA!$B$2,3,1),0),MOVIMIENTOS!$D:$D,$B25)</f>
        <v/>
      </c>
      <c r="E25" s="8">
        <f>C25-D25</f>
        <v/>
      </c>
      <c r="F25" s="9">
        <f>IFERROR(D25/C25,"")</f>
        <v/>
      </c>
      <c r="S25" s="21">
        <f>IF(DAY(DATE(PORTADA!$B$2,3,21))&lt;&gt;21,"",21)</f>
        <v/>
      </c>
      <c r="T25" s="22">
        <f>IF(DAY(DATE(PORTADA!$B$2,3,21))&lt;&gt;21,"",SUMIFS(MOVIMIENTOS!$F:$F,MOVIMIENTOS!$A:$A,DATE(PORTADA!$B$2,3,21),MOVIMIENTOS!$C:$C,T$4))</f>
        <v/>
      </c>
      <c r="U25" s="22">
        <f>IF(DAY(DATE(PORTADA!$B$2,3,21))&lt;&gt;21,"",SUMIFS(MOVIMIENTOS!$F:$F,MOVIMIENTOS!$A:$A,DATE(PORTADA!$B$2,3,21),MOVIMIENTOS!$C:$C,U$4))</f>
        <v/>
      </c>
      <c r="V25" s="22">
        <f>IF(DAY(DATE(PORTADA!$B$2,3,21))&lt;&gt;21,"",SUMIFS(MOVIMIENTOS!$F:$F,MOVIMIENTOS!$A:$A,DATE(PORTADA!$B$2,3,21),MOVIMIENTOS!$C:$C,V$4))</f>
        <v/>
      </c>
      <c r="W25" s="22">
        <f>IF(DAY(DATE(PORTADA!$B$2,3,21))&lt;&gt;21,"",SUMIFS(MOVIMIENTOS!$F:$F,MOVIMIENTOS!$A:$A,DATE(PORTADA!$B$2,3,21),MOVIMIENTOS!$C:$C,W$4))</f>
        <v/>
      </c>
      <c r="X25" s="22">
        <f>IF(DAY(DATE(PORTADA!$B$2,3,21))&lt;&gt;21,"",SUMIFS(MOVIMIENTOS!$F:$F,MOVIMIENTOS!$A:$A,DATE(PORTADA!$B$2,3,21),MOVIMIENTOS!$C:$C,X$4))</f>
        <v/>
      </c>
      <c r="Y25" s="22">
        <f>IF(DAY(DATE(PORTADA!$B$2,3,21))&lt;&gt;21,"",SUMIFS(MOVIMIENTOS!$F:$F,MOVIMIENTOS!$A:$A,DATE(PORTADA!$B$2,3,21),MOVIMIENTOS!$C:$C,Y$4))</f>
        <v/>
      </c>
      <c r="Z25" s="22">
        <f>IF(DAY(DATE(PORTADA!$B$2,3,21))&lt;&gt;21,"",SUMIFS(MOVIMIENTOS!$F:$F,MOVIMIENTOS!$A:$A,DATE(PORTADA!$B$2,3,21),MOVIMIENTOS!$C:$C,Z$4))</f>
        <v/>
      </c>
      <c r="AA25" s="22">
        <f>IF(DAY(DATE(PORTADA!$B$2,3,21))&lt;&gt;21,"",SUM(T25:Z25))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SUMIFS(MOVIMIENTOS!$F:$F,MOVIMIENTOS!$A:$A,"&gt;="&amp;DATE(PORTADA!$B$2,3,1),MOVIMIENTOS!$A:$A,"&lt;="&amp;EOMONTH(DATE(PORTADA!$B$2,3,1),0),MOVIMIENTOS!$D:$D,$B26)</f>
        <v/>
      </c>
      <c r="E26" s="8">
        <f>C26-D26</f>
        <v/>
      </c>
      <c r="F26" s="9">
        <f>IFERROR(D26/C26,"")</f>
        <v/>
      </c>
      <c r="S26" s="21">
        <f>IF(DAY(DATE(PORTADA!$B$2,3,22))&lt;&gt;22,"",22)</f>
        <v/>
      </c>
      <c r="T26" s="22">
        <f>IF(DAY(DATE(PORTADA!$B$2,3,22))&lt;&gt;22,"",SUMIFS(MOVIMIENTOS!$F:$F,MOVIMIENTOS!$A:$A,DATE(PORTADA!$B$2,3,22),MOVIMIENTOS!$C:$C,T$4))</f>
        <v/>
      </c>
      <c r="U26" s="22">
        <f>IF(DAY(DATE(PORTADA!$B$2,3,22))&lt;&gt;22,"",SUMIFS(MOVIMIENTOS!$F:$F,MOVIMIENTOS!$A:$A,DATE(PORTADA!$B$2,3,22),MOVIMIENTOS!$C:$C,U$4))</f>
        <v/>
      </c>
      <c r="V26" s="22">
        <f>IF(DAY(DATE(PORTADA!$B$2,3,22))&lt;&gt;22,"",SUMIFS(MOVIMIENTOS!$F:$F,MOVIMIENTOS!$A:$A,DATE(PORTADA!$B$2,3,22),MOVIMIENTOS!$C:$C,V$4))</f>
        <v/>
      </c>
      <c r="W26" s="22">
        <f>IF(DAY(DATE(PORTADA!$B$2,3,22))&lt;&gt;22,"",SUMIFS(MOVIMIENTOS!$F:$F,MOVIMIENTOS!$A:$A,DATE(PORTADA!$B$2,3,22),MOVIMIENTOS!$C:$C,W$4))</f>
        <v/>
      </c>
      <c r="X26" s="22">
        <f>IF(DAY(DATE(PORTADA!$B$2,3,22))&lt;&gt;22,"",SUMIFS(MOVIMIENTOS!$F:$F,MOVIMIENTOS!$A:$A,DATE(PORTADA!$B$2,3,22),MOVIMIENTOS!$C:$C,X$4))</f>
        <v/>
      </c>
      <c r="Y26" s="22">
        <f>IF(DAY(DATE(PORTADA!$B$2,3,22))&lt;&gt;22,"",SUMIFS(MOVIMIENTOS!$F:$F,MOVIMIENTOS!$A:$A,DATE(PORTADA!$B$2,3,22),MOVIMIENTOS!$C:$C,Y$4))</f>
        <v/>
      </c>
      <c r="Z26" s="22">
        <f>IF(DAY(DATE(PORTADA!$B$2,3,22))&lt;&gt;22,"",SUMIFS(MOVIMIENTOS!$F:$F,MOVIMIENTOS!$A:$A,DATE(PORTADA!$B$2,3,22),MOVIMIENTOS!$C:$C,Z$4))</f>
        <v/>
      </c>
      <c r="AA26" s="22">
        <f>IF(DAY(DATE(PORTADA!$B$2,3,22))&lt;&gt;22,"",SUM(T26:Z26))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SUMIFS(MOVIMIENTOS!$F:$F,MOVIMIENTOS!$A:$A,"&gt;="&amp;DATE(PORTADA!$B$2,3,1),MOVIMIENTOS!$A:$A,"&lt;="&amp;EOMONTH(DATE(PORTADA!$B$2,3,1),0),MOVIMIENTOS!$D:$D,$B27)</f>
        <v/>
      </c>
      <c r="E27" s="8">
        <f>C27-D27</f>
        <v/>
      </c>
      <c r="F27" s="9">
        <f>IFERROR(D27/C27,"")</f>
        <v/>
      </c>
      <c r="S27" s="21">
        <f>IF(DAY(DATE(PORTADA!$B$2,3,23))&lt;&gt;23,"",23)</f>
        <v/>
      </c>
      <c r="T27" s="22">
        <f>IF(DAY(DATE(PORTADA!$B$2,3,23))&lt;&gt;23,"",SUMIFS(MOVIMIENTOS!$F:$F,MOVIMIENTOS!$A:$A,DATE(PORTADA!$B$2,3,23),MOVIMIENTOS!$C:$C,T$4))</f>
        <v/>
      </c>
      <c r="U27" s="22">
        <f>IF(DAY(DATE(PORTADA!$B$2,3,23))&lt;&gt;23,"",SUMIFS(MOVIMIENTOS!$F:$F,MOVIMIENTOS!$A:$A,DATE(PORTADA!$B$2,3,23),MOVIMIENTOS!$C:$C,U$4))</f>
        <v/>
      </c>
      <c r="V27" s="22">
        <f>IF(DAY(DATE(PORTADA!$B$2,3,23))&lt;&gt;23,"",SUMIFS(MOVIMIENTOS!$F:$F,MOVIMIENTOS!$A:$A,DATE(PORTADA!$B$2,3,23),MOVIMIENTOS!$C:$C,V$4))</f>
        <v/>
      </c>
      <c r="W27" s="22">
        <f>IF(DAY(DATE(PORTADA!$B$2,3,23))&lt;&gt;23,"",SUMIFS(MOVIMIENTOS!$F:$F,MOVIMIENTOS!$A:$A,DATE(PORTADA!$B$2,3,23),MOVIMIENTOS!$C:$C,W$4))</f>
        <v/>
      </c>
      <c r="X27" s="22">
        <f>IF(DAY(DATE(PORTADA!$B$2,3,23))&lt;&gt;23,"",SUMIFS(MOVIMIENTOS!$F:$F,MOVIMIENTOS!$A:$A,DATE(PORTADA!$B$2,3,23),MOVIMIENTOS!$C:$C,X$4))</f>
        <v/>
      </c>
      <c r="Y27" s="22">
        <f>IF(DAY(DATE(PORTADA!$B$2,3,23))&lt;&gt;23,"",SUMIFS(MOVIMIENTOS!$F:$F,MOVIMIENTOS!$A:$A,DATE(PORTADA!$B$2,3,23),MOVIMIENTOS!$C:$C,Y$4))</f>
        <v/>
      </c>
      <c r="Z27" s="22">
        <f>IF(DAY(DATE(PORTADA!$B$2,3,23))&lt;&gt;23,"",SUMIFS(MOVIMIENTOS!$F:$F,MOVIMIENTOS!$A:$A,DATE(PORTADA!$B$2,3,23),MOVIMIENTOS!$C:$C,Z$4))</f>
        <v/>
      </c>
      <c r="AA27" s="22">
        <f>IF(DAY(DATE(PORTADA!$B$2,3,23))&lt;&gt;23,"",SUM(T27:Z27))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SUMIFS(MOVIMIENTOS!$F:$F,MOVIMIENTOS!$A:$A,"&gt;="&amp;DATE(PORTADA!$B$2,3,1),MOVIMIENTOS!$A:$A,"&lt;="&amp;EOMONTH(DATE(PORTADA!$B$2,3,1),0),MOVIMIENTOS!$D:$D,$B28)</f>
        <v/>
      </c>
      <c r="E28" s="8">
        <f>C28-D28</f>
        <v/>
      </c>
      <c r="F28" s="9">
        <f>IFERROR(D28/C28,"")</f>
        <v/>
      </c>
      <c r="S28" s="21">
        <f>IF(DAY(DATE(PORTADA!$B$2,3,24))&lt;&gt;24,"",24)</f>
        <v/>
      </c>
      <c r="T28" s="22">
        <f>IF(DAY(DATE(PORTADA!$B$2,3,24))&lt;&gt;24,"",SUMIFS(MOVIMIENTOS!$F:$F,MOVIMIENTOS!$A:$A,DATE(PORTADA!$B$2,3,24),MOVIMIENTOS!$C:$C,T$4))</f>
        <v/>
      </c>
      <c r="U28" s="22">
        <f>IF(DAY(DATE(PORTADA!$B$2,3,24))&lt;&gt;24,"",SUMIFS(MOVIMIENTOS!$F:$F,MOVIMIENTOS!$A:$A,DATE(PORTADA!$B$2,3,24),MOVIMIENTOS!$C:$C,U$4))</f>
        <v/>
      </c>
      <c r="V28" s="22">
        <f>IF(DAY(DATE(PORTADA!$B$2,3,24))&lt;&gt;24,"",SUMIFS(MOVIMIENTOS!$F:$F,MOVIMIENTOS!$A:$A,DATE(PORTADA!$B$2,3,24),MOVIMIENTOS!$C:$C,V$4))</f>
        <v/>
      </c>
      <c r="W28" s="22">
        <f>IF(DAY(DATE(PORTADA!$B$2,3,24))&lt;&gt;24,"",SUMIFS(MOVIMIENTOS!$F:$F,MOVIMIENTOS!$A:$A,DATE(PORTADA!$B$2,3,24),MOVIMIENTOS!$C:$C,W$4))</f>
        <v/>
      </c>
      <c r="X28" s="22">
        <f>IF(DAY(DATE(PORTADA!$B$2,3,24))&lt;&gt;24,"",SUMIFS(MOVIMIENTOS!$F:$F,MOVIMIENTOS!$A:$A,DATE(PORTADA!$B$2,3,24),MOVIMIENTOS!$C:$C,X$4))</f>
        <v/>
      </c>
      <c r="Y28" s="22">
        <f>IF(DAY(DATE(PORTADA!$B$2,3,24))&lt;&gt;24,"",SUMIFS(MOVIMIENTOS!$F:$F,MOVIMIENTOS!$A:$A,DATE(PORTADA!$B$2,3,24),MOVIMIENTOS!$C:$C,Y$4))</f>
        <v/>
      </c>
      <c r="Z28" s="22">
        <f>IF(DAY(DATE(PORTADA!$B$2,3,24))&lt;&gt;24,"",SUMIFS(MOVIMIENTOS!$F:$F,MOVIMIENTOS!$A:$A,DATE(PORTADA!$B$2,3,24),MOVIMIENTOS!$C:$C,Z$4))</f>
        <v/>
      </c>
      <c r="AA28" s="22">
        <f>IF(DAY(DATE(PORTADA!$B$2,3,24))&lt;&gt;24,"",SUM(T28:Z28))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SUMIFS(MOVIMIENTOS!$F:$F,MOVIMIENTOS!$A:$A,"&gt;="&amp;DATE(PORTADA!$B$2,3,1),MOVIMIENTOS!$A:$A,"&lt;="&amp;EOMONTH(DATE(PORTADA!$B$2,3,1),0),MOVIMIENTOS!$D:$D,$B29)</f>
        <v/>
      </c>
      <c r="E29" s="8">
        <f>C29-D29</f>
        <v/>
      </c>
      <c r="F29" s="9">
        <f>IFERROR(D29/C29,"")</f>
        <v/>
      </c>
      <c r="S29" s="21">
        <f>IF(DAY(DATE(PORTADA!$B$2,3,25))&lt;&gt;25,"",25)</f>
        <v/>
      </c>
      <c r="T29" s="22">
        <f>IF(DAY(DATE(PORTADA!$B$2,3,25))&lt;&gt;25,"",SUMIFS(MOVIMIENTOS!$F:$F,MOVIMIENTOS!$A:$A,DATE(PORTADA!$B$2,3,25),MOVIMIENTOS!$C:$C,T$4))</f>
        <v/>
      </c>
      <c r="U29" s="22">
        <f>IF(DAY(DATE(PORTADA!$B$2,3,25))&lt;&gt;25,"",SUMIFS(MOVIMIENTOS!$F:$F,MOVIMIENTOS!$A:$A,DATE(PORTADA!$B$2,3,25),MOVIMIENTOS!$C:$C,U$4))</f>
        <v/>
      </c>
      <c r="V29" s="22">
        <f>IF(DAY(DATE(PORTADA!$B$2,3,25))&lt;&gt;25,"",SUMIFS(MOVIMIENTOS!$F:$F,MOVIMIENTOS!$A:$A,DATE(PORTADA!$B$2,3,25),MOVIMIENTOS!$C:$C,V$4))</f>
        <v/>
      </c>
      <c r="W29" s="22">
        <f>IF(DAY(DATE(PORTADA!$B$2,3,25))&lt;&gt;25,"",SUMIFS(MOVIMIENTOS!$F:$F,MOVIMIENTOS!$A:$A,DATE(PORTADA!$B$2,3,25),MOVIMIENTOS!$C:$C,W$4))</f>
        <v/>
      </c>
      <c r="X29" s="22">
        <f>IF(DAY(DATE(PORTADA!$B$2,3,25))&lt;&gt;25,"",SUMIFS(MOVIMIENTOS!$F:$F,MOVIMIENTOS!$A:$A,DATE(PORTADA!$B$2,3,25),MOVIMIENTOS!$C:$C,X$4))</f>
        <v/>
      </c>
      <c r="Y29" s="22">
        <f>IF(DAY(DATE(PORTADA!$B$2,3,25))&lt;&gt;25,"",SUMIFS(MOVIMIENTOS!$F:$F,MOVIMIENTOS!$A:$A,DATE(PORTADA!$B$2,3,25),MOVIMIENTOS!$C:$C,Y$4))</f>
        <v/>
      </c>
      <c r="Z29" s="22">
        <f>IF(DAY(DATE(PORTADA!$B$2,3,25))&lt;&gt;25,"",SUMIFS(MOVIMIENTOS!$F:$F,MOVIMIENTOS!$A:$A,DATE(PORTADA!$B$2,3,25),MOVIMIENTOS!$C:$C,Z$4))</f>
        <v/>
      </c>
      <c r="AA29" s="22">
        <f>IF(DAY(DATE(PORTADA!$B$2,3,25))&lt;&gt;25,"",SUM(T29:Z29))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SUMIFS(MOVIMIENTOS!$F:$F,MOVIMIENTOS!$A:$A,"&gt;="&amp;DATE(PORTADA!$B$2,3,1),MOVIMIENTOS!$A:$A,"&lt;="&amp;EOMONTH(DATE(PORTADA!$B$2,3,1),0),MOVIMIENTOS!$D:$D,$B30)</f>
        <v/>
      </c>
      <c r="E30" s="8">
        <f>C30-D30</f>
        <v/>
      </c>
      <c r="F30" s="9">
        <f>IFERROR(D30/C30,"")</f>
        <v/>
      </c>
      <c r="S30" s="21">
        <f>IF(DAY(DATE(PORTADA!$B$2,3,26))&lt;&gt;26,"",26)</f>
        <v/>
      </c>
      <c r="T30" s="22">
        <f>IF(DAY(DATE(PORTADA!$B$2,3,26))&lt;&gt;26,"",SUMIFS(MOVIMIENTOS!$F:$F,MOVIMIENTOS!$A:$A,DATE(PORTADA!$B$2,3,26),MOVIMIENTOS!$C:$C,T$4))</f>
        <v/>
      </c>
      <c r="U30" s="22">
        <f>IF(DAY(DATE(PORTADA!$B$2,3,26))&lt;&gt;26,"",SUMIFS(MOVIMIENTOS!$F:$F,MOVIMIENTOS!$A:$A,DATE(PORTADA!$B$2,3,26),MOVIMIENTOS!$C:$C,U$4))</f>
        <v/>
      </c>
      <c r="V30" s="22">
        <f>IF(DAY(DATE(PORTADA!$B$2,3,26))&lt;&gt;26,"",SUMIFS(MOVIMIENTOS!$F:$F,MOVIMIENTOS!$A:$A,DATE(PORTADA!$B$2,3,26),MOVIMIENTOS!$C:$C,V$4))</f>
        <v/>
      </c>
      <c r="W30" s="22">
        <f>IF(DAY(DATE(PORTADA!$B$2,3,26))&lt;&gt;26,"",SUMIFS(MOVIMIENTOS!$F:$F,MOVIMIENTOS!$A:$A,DATE(PORTADA!$B$2,3,26),MOVIMIENTOS!$C:$C,W$4))</f>
        <v/>
      </c>
      <c r="X30" s="22">
        <f>IF(DAY(DATE(PORTADA!$B$2,3,26))&lt;&gt;26,"",SUMIFS(MOVIMIENTOS!$F:$F,MOVIMIENTOS!$A:$A,DATE(PORTADA!$B$2,3,26),MOVIMIENTOS!$C:$C,X$4))</f>
        <v/>
      </c>
      <c r="Y30" s="22">
        <f>IF(DAY(DATE(PORTADA!$B$2,3,26))&lt;&gt;26,"",SUMIFS(MOVIMIENTOS!$F:$F,MOVIMIENTOS!$A:$A,DATE(PORTADA!$B$2,3,26),MOVIMIENTOS!$C:$C,Y$4))</f>
        <v/>
      </c>
      <c r="Z30" s="22">
        <f>IF(DAY(DATE(PORTADA!$B$2,3,26))&lt;&gt;26,"",SUMIFS(MOVIMIENTOS!$F:$F,MOVIMIENTOS!$A:$A,DATE(PORTADA!$B$2,3,26),MOVIMIENTOS!$C:$C,Z$4))</f>
        <v/>
      </c>
      <c r="AA30" s="22">
        <f>IF(DAY(DATE(PORTADA!$B$2,3,26))&lt;&gt;26,"",SUM(T30:Z30))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SUMIFS(MOVIMIENTOS!$F:$F,MOVIMIENTOS!$A:$A,"&gt;="&amp;DATE(PORTADA!$B$2,3,1),MOVIMIENTOS!$A:$A,"&lt;="&amp;EOMONTH(DATE(PORTADA!$B$2,3,1),0),MOVIMIENTOS!$D:$D,$B31)</f>
        <v/>
      </c>
      <c r="E31" s="8">
        <f>C31-D31</f>
        <v/>
      </c>
      <c r="F31" s="9">
        <f>IFERROR(D31/C31,"")</f>
        <v/>
      </c>
      <c r="S31" s="21">
        <f>IF(DAY(DATE(PORTADA!$B$2,3,27))&lt;&gt;27,"",27)</f>
        <v/>
      </c>
      <c r="T31" s="22">
        <f>IF(DAY(DATE(PORTADA!$B$2,3,27))&lt;&gt;27,"",SUMIFS(MOVIMIENTOS!$F:$F,MOVIMIENTOS!$A:$A,DATE(PORTADA!$B$2,3,27),MOVIMIENTOS!$C:$C,T$4))</f>
        <v/>
      </c>
      <c r="U31" s="22">
        <f>IF(DAY(DATE(PORTADA!$B$2,3,27))&lt;&gt;27,"",SUMIFS(MOVIMIENTOS!$F:$F,MOVIMIENTOS!$A:$A,DATE(PORTADA!$B$2,3,27),MOVIMIENTOS!$C:$C,U$4))</f>
        <v/>
      </c>
      <c r="V31" s="22">
        <f>IF(DAY(DATE(PORTADA!$B$2,3,27))&lt;&gt;27,"",SUMIFS(MOVIMIENTOS!$F:$F,MOVIMIENTOS!$A:$A,DATE(PORTADA!$B$2,3,27),MOVIMIENTOS!$C:$C,V$4))</f>
        <v/>
      </c>
      <c r="W31" s="22">
        <f>IF(DAY(DATE(PORTADA!$B$2,3,27))&lt;&gt;27,"",SUMIFS(MOVIMIENTOS!$F:$F,MOVIMIENTOS!$A:$A,DATE(PORTADA!$B$2,3,27),MOVIMIENTOS!$C:$C,W$4))</f>
        <v/>
      </c>
      <c r="X31" s="22">
        <f>IF(DAY(DATE(PORTADA!$B$2,3,27))&lt;&gt;27,"",SUMIFS(MOVIMIENTOS!$F:$F,MOVIMIENTOS!$A:$A,DATE(PORTADA!$B$2,3,27),MOVIMIENTOS!$C:$C,X$4))</f>
        <v/>
      </c>
      <c r="Y31" s="22">
        <f>IF(DAY(DATE(PORTADA!$B$2,3,27))&lt;&gt;27,"",SUMIFS(MOVIMIENTOS!$F:$F,MOVIMIENTOS!$A:$A,DATE(PORTADA!$B$2,3,27),MOVIMIENTOS!$C:$C,Y$4))</f>
        <v/>
      </c>
      <c r="Z31" s="22">
        <f>IF(DAY(DATE(PORTADA!$B$2,3,27))&lt;&gt;27,"",SUMIFS(MOVIMIENTOS!$F:$F,MOVIMIENTOS!$A:$A,DATE(PORTADA!$B$2,3,27),MOVIMIENTOS!$C:$C,Z$4))</f>
        <v/>
      </c>
      <c r="AA31" s="22">
        <f>IF(DAY(DATE(PORTADA!$B$2,3,27))&lt;&gt;27,"",SUM(T31:Z31))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SUMIFS(MOVIMIENTOS!$F:$F,MOVIMIENTOS!$A:$A,"&gt;="&amp;DATE(PORTADA!$B$2,3,1),MOVIMIENTOS!$A:$A,"&lt;="&amp;EOMONTH(DATE(PORTADA!$B$2,3,1),0),MOVIMIENTOS!$D:$D,$B32)</f>
        <v/>
      </c>
      <c r="E32" s="8">
        <f>C32-D32</f>
        <v/>
      </c>
      <c r="F32" s="9">
        <f>IFERROR(D32/C32,"")</f>
        <v/>
      </c>
      <c r="S32" s="21">
        <f>IF(DAY(DATE(PORTADA!$B$2,3,28))&lt;&gt;28,"",28)</f>
        <v/>
      </c>
      <c r="T32" s="22">
        <f>IF(DAY(DATE(PORTADA!$B$2,3,28))&lt;&gt;28,"",SUMIFS(MOVIMIENTOS!$F:$F,MOVIMIENTOS!$A:$A,DATE(PORTADA!$B$2,3,28),MOVIMIENTOS!$C:$C,T$4))</f>
        <v/>
      </c>
      <c r="U32" s="22">
        <f>IF(DAY(DATE(PORTADA!$B$2,3,28))&lt;&gt;28,"",SUMIFS(MOVIMIENTOS!$F:$F,MOVIMIENTOS!$A:$A,DATE(PORTADA!$B$2,3,28),MOVIMIENTOS!$C:$C,U$4))</f>
        <v/>
      </c>
      <c r="V32" s="22">
        <f>IF(DAY(DATE(PORTADA!$B$2,3,28))&lt;&gt;28,"",SUMIFS(MOVIMIENTOS!$F:$F,MOVIMIENTOS!$A:$A,DATE(PORTADA!$B$2,3,28),MOVIMIENTOS!$C:$C,V$4))</f>
        <v/>
      </c>
      <c r="W32" s="22">
        <f>IF(DAY(DATE(PORTADA!$B$2,3,28))&lt;&gt;28,"",SUMIFS(MOVIMIENTOS!$F:$F,MOVIMIENTOS!$A:$A,DATE(PORTADA!$B$2,3,28),MOVIMIENTOS!$C:$C,W$4))</f>
        <v/>
      </c>
      <c r="X32" s="22">
        <f>IF(DAY(DATE(PORTADA!$B$2,3,28))&lt;&gt;28,"",SUMIFS(MOVIMIENTOS!$F:$F,MOVIMIENTOS!$A:$A,DATE(PORTADA!$B$2,3,28),MOVIMIENTOS!$C:$C,X$4))</f>
        <v/>
      </c>
      <c r="Y32" s="22">
        <f>IF(DAY(DATE(PORTADA!$B$2,3,28))&lt;&gt;28,"",SUMIFS(MOVIMIENTOS!$F:$F,MOVIMIENTOS!$A:$A,DATE(PORTADA!$B$2,3,28),MOVIMIENTOS!$C:$C,Y$4))</f>
        <v/>
      </c>
      <c r="Z32" s="22">
        <f>IF(DAY(DATE(PORTADA!$B$2,3,28))&lt;&gt;28,"",SUMIFS(MOVIMIENTOS!$F:$F,MOVIMIENTOS!$A:$A,DATE(PORTADA!$B$2,3,28),MOVIMIENTOS!$C:$C,Z$4))</f>
        <v/>
      </c>
      <c r="AA32" s="22">
        <f>IF(DAY(DATE(PORTADA!$B$2,3,28))&lt;&gt;28,"",SUM(T32:Z32))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SUMIFS(MOVIMIENTOS!$F:$F,MOVIMIENTOS!$A:$A,"&gt;="&amp;DATE(PORTADA!$B$2,3,1),MOVIMIENTOS!$A:$A,"&lt;="&amp;EOMONTH(DATE(PORTADA!$B$2,3,1),0),MOVIMIENTOS!$D:$D,$B33)</f>
        <v/>
      </c>
      <c r="E33" s="8">
        <f>C33-D33</f>
        <v/>
      </c>
      <c r="F33" s="9">
        <f>IFERROR(D33/C33,"")</f>
        <v/>
      </c>
      <c r="S33" s="21">
        <f>IF(DAY(DATE(PORTADA!$B$2,3,29))&lt;&gt;29,"",29)</f>
        <v/>
      </c>
      <c r="T33" s="22">
        <f>IF(DAY(DATE(PORTADA!$B$2,3,29))&lt;&gt;29,"",SUMIFS(MOVIMIENTOS!$F:$F,MOVIMIENTOS!$A:$A,DATE(PORTADA!$B$2,3,29),MOVIMIENTOS!$C:$C,T$4))</f>
        <v/>
      </c>
      <c r="U33" s="22">
        <f>IF(DAY(DATE(PORTADA!$B$2,3,29))&lt;&gt;29,"",SUMIFS(MOVIMIENTOS!$F:$F,MOVIMIENTOS!$A:$A,DATE(PORTADA!$B$2,3,29),MOVIMIENTOS!$C:$C,U$4))</f>
        <v/>
      </c>
      <c r="V33" s="22">
        <f>IF(DAY(DATE(PORTADA!$B$2,3,29))&lt;&gt;29,"",SUMIFS(MOVIMIENTOS!$F:$F,MOVIMIENTOS!$A:$A,DATE(PORTADA!$B$2,3,29),MOVIMIENTOS!$C:$C,V$4))</f>
        <v/>
      </c>
      <c r="W33" s="22">
        <f>IF(DAY(DATE(PORTADA!$B$2,3,29))&lt;&gt;29,"",SUMIFS(MOVIMIENTOS!$F:$F,MOVIMIENTOS!$A:$A,DATE(PORTADA!$B$2,3,29),MOVIMIENTOS!$C:$C,W$4))</f>
        <v/>
      </c>
      <c r="X33" s="22">
        <f>IF(DAY(DATE(PORTADA!$B$2,3,29))&lt;&gt;29,"",SUMIFS(MOVIMIENTOS!$F:$F,MOVIMIENTOS!$A:$A,DATE(PORTADA!$B$2,3,29),MOVIMIENTOS!$C:$C,X$4))</f>
        <v/>
      </c>
      <c r="Y33" s="22">
        <f>IF(DAY(DATE(PORTADA!$B$2,3,29))&lt;&gt;29,"",SUMIFS(MOVIMIENTOS!$F:$F,MOVIMIENTOS!$A:$A,DATE(PORTADA!$B$2,3,29),MOVIMIENTOS!$C:$C,Y$4))</f>
        <v/>
      </c>
      <c r="Z33" s="22">
        <f>IF(DAY(DATE(PORTADA!$B$2,3,29))&lt;&gt;29,"",SUMIFS(MOVIMIENTOS!$F:$F,MOVIMIENTOS!$A:$A,DATE(PORTADA!$B$2,3,29),MOVIMIENTOS!$C:$C,Z$4))</f>
        <v/>
      </c>
      <c r="AA33" s="22">
        <f>IF(DAY(DATE(PORTADA!$B$2,3,29))&lt;&gt;29,"",SUM(T33:Z33))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SUMIFS(MOVIMIENTOS!$F:$F,MOVIMIENTOS!$A:$A,"&gt;="&amp;DATE(PORTADA!$B$2,3,1),MOVIMIENTOS!$A:$A,"&lt;="&amp;EOMONTH(DATE(PORTADA!$B$2,3,1),0),MOVIMIENTOS!$D:$D,$B34)</f>
        <v/>
      </c>
      <c r="E34" s="8">
        <f>C34-D34</f>
        <v/>
      </c>
      <c r="F34" s="9">
        <f>IFERROR(D34/C34,"")</f>
        <v/>
      </c>
      <c r="S34" s="21">
        <f>IF(DAY(DATE(PORTADA!$B$2,3,30))&lt;&gt;30,"",30)</f>
        <v/>
      </c>
      <c r="T34" s="22">
        <f>IF(DAY(DATE(PORTADA!$B$2,3,30))&lt;&gt;30,"",SUMIFS(MOVIMIENTOS!$F:$F,MOVIMIENTOS!$A:$A,DATE(PORTADA!$B$2,3,30),MOVIMIENTOS!$C:$C,T$4))</f>
        <v/>
      </c>
      <c r="U34" s="22">
        <f>IF(DAY(DATE(PORTADA!$B$2,3,30))&lt;&gt;30,"",SUMIFS(MOVIMIENTOS!$F:$F,MOVIMIENTOS!$A:$A,DATE(PORTADA!$B$2,3,30),MOVIMIENTOS!$C:$C,U$4))</f>
        <v/>
      </c>
      <c r="V34" s="22">
        <f>IF(DAY(DATE(PORTADA!$B$2,3,30))&lt;&gt;30,"",SUMIFS(MOVIMIENTOS!$F:$F,MOVIMIENTOS!$A:$A,DATE(PORTADA!$B$2,3,30),MOVIMIENTOS!$C:$C,V$4))</f>
        <v/>
      </c>
      <c r="W34" s="22">
        <f>IF(DAY(DATE(PORTADA!$B$2,3,30))&lt;&gt;30,"",SUMIFS(MOVIMIENTOS!$F:$F,MOVIMIENTOS!$A:$A,DATE(PORTADA!$B$2,3,30),MOVIMIENTOS!$C:$C,W$4))</f>
        <v/>
      </c>
      <c r="X34" s="22">
        <f>IF(DAY(DATE(PORTADA!$B$2,3,30))&lt;&gt;30,"",SUMIFS(MOVIMIENTOS!$F:$F,MOVIMIENTOS!$A:$A,DATE(PORTADA!$B$2,3,30),MOVIMIENTOS!$C:$C,X$4))</f>
        <v/>
      </c>
      <c r="Y34" s="22">
        <f>IF(DAY(DATE(PORTADA!$B$2,3,30))&lt;&gt;30,"",SUMIFS(MOVIMIENTOS!$F:$F,MOVIMIENTOS!$A:$A,DATE(PORTADA!$B$2,3,30),MOVIMIENTOS!$C:$C,Y$4))</f>
        <v/>
      </c>
      <c r="Z34" s="22">
        <f>IF(DAY(DATE(PORTADA!$B$2,3,30))&lt;&gt;30,"",SUMIFS(MOVIMIENTOS!$F:$F,MOVIMIENTOS!$A:$A,DATE(PORTADA!$B$2,3,30),MOVIMIENTOS!$C:$C,Z$4))</f>
        <v/>
      </c>
      <c r="AA34" s="22">
        <f>IF(DAY(DATE(PORTADA!$B$2,3,30))&lt;&gt;30,"",SUM(T34:Z34))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SUMIFS(MOVIMIENTOS!$F:$F,MOVIMIENTOS!$A:$A,"&gt;="&amp;DATE(PORTADA!$B$2,3,1),MOVIMIENTOS!$A:$A,"&lt;="&amp;EOMONTH(DATE(PORTADA!$B$2,3,1),0),MOVIMIENTOS!$D:$D,$B35)</f>
        <v/>
      </c>
      <c r="E35" s="8">
        <f>C35-D35</f>
        <v/>
      </c>
      <c r="F35" s="9">
        <f>IFERROR(D35/C35,"")</f>
        <v/>
      </c>
      <c r="S35" s="21">
        <f>IF(DAY(DATE(PORTADA!$B$2,3,31))&lt;&gt;31,"",31)</f>
        <v/>
      </c>
      <c r="T35" s="22">
        <f>IF(DAY(DATE(PORTADA!$B$2,3,31))&lt;&gt;31,"",SUMIFS(MOVIMIENTOS!$F:$F,MOVIMIENTOS!$A:$A,DATE(PORTADA!$B$2,3,31),MOVIMIENTOS!$C:$C,T$4))</f>
        <v/>
      </c>
      <c r="U35" s="22">
        <f>IF(DAY(DATE(PORTADA!$B$2,3,31))&lt;&gt;31,"",SUMIFS(MOVIMIENTOS!$F:$F,MOVIMIENTOS!$A:$A,DATE(PORTADA!$B$2,3,31),MOVIMIENTOS!$C:$C,U$4))</f>
        <v/>
      </c>
      <c r="V35" s="22">
        <f>IF(DAY(DATE(PORTADA!$B$2,3,31))&lt;&gt;31,"",SUMIFS(MOVIMIENTOS!$F:$F,MOVIMIENTOS!$A:$A,DATE(PORTADA!$B$2,3,31),MOVIMIENTOS!$C:$C,V$4))</f>
        <v/>
      </c>
      <c r="W35" s="22">
        <f>IF(DAY(DATE(PORTADA!$B$2,3,31))&lt;&gt;31,"",SUMIFS(MOVIMIENTOS!$F:$F,MOVIMIENTOS!$A:$A,DATE(PORTADA!$B$2,3,31),MOVIMIENTOS!$C:$C,W$4))</f>
        <v/>
      </c>
      <c r="X35" s="22">
        <f>IF(DAY(DATE(PORTADA!$B$2,3,31))&lt;&gt;31,"",SUMIFS(MOVIMIENTOS!$F:$F,MOVIMIENTOS!$A:$A,DATE(PORTADA!$B$2,3,31),MOVIMIENTOS!$C:$C,X$4))</f>
        <v/>
      </c>
      <c r="Y35" s="22">
        <f>IF(DAY(DATE(PORTADA!$B$2,3,31))&lt;&gt;31,"",SUMIFS(MOVIMIENTOS!$F:$F,MOVIMIENTOS!$A:$A,DATE(PORTADA!$B$2,3,31),MOVIMIENTOS!$C:$C,Y$4))</f>
        <v/>
      </c>
      <c r="Z35" s="22">
        <f>IF(DAY(DATE(PORTADA!$B$2,3,31))&lt;&gt;31,"",SUMIFS(MOVIMIENTOS!$F:$F,MOVIMIENTOS!$A:$A,DATE(PORTADA!$B$2,3,31),MOVIMIENTOS!$C:$C,Z$4))</f>
        <v/>
      </c>
      <c r="AA35" s="22">
        <f>IF(DAY(DATE(PORTADA!$B$2,3,31))&lt;&gt;31,"",SUM(T35:Z35))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SUMIFS(MOVIMIENTOS!$F:$F,MOVIMIENTOS!$A:$A,"&gt;="&amp;DATE(PORTADA!$B$2,3,1),MOVIMIENTOS!$A:$A,"&lt;="&amp;EOMONTH(DATE(PORTADA!$B$2,3,1),0),MOVIMIENTOS!$D:$D,$B36)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SUMIFS(MOVIMIENTOS!$F:$F,MOVIMIENTOS!$A:$A,"&gt;="&amp;DATE(PORTADA!$B$2,3,1),MOVIMIENTOS!$A:$A,"&lt;="&amp;EOMONTH(DATE(PORTADA!$B$2,3,1),0),MOVIMIENTOS!$D:$D,$B37)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SUMIFS(MOVIMIENTOS!$F:$F,MOVIMIENTOS!$A:$A,"&gt;="&amp;DATE(PORTADA!$B$2,3,1),MOVIMIENTOS!$A:$A,"&lt;="&amp;EOMONTH(DATE(PORTADA!$B$2,3,1),0),MOVIMIENTOS!$D:$D,$B38)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SUMIFS(MOVIMIENTOS!$F:$F,MOVIMIENTOS!$A:$A,"&gt;="&amp;DATE(PORTADA!$B$2,3,1),MOVIMIENTOS!$A:$A,"&lt;="&amp;EOMONTH(DATE(PORTADA!$B$2,3,1),0),MOVIMIENTOS!$D:$D,$B39)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SUMIFS(MOVIMIENTOS!$F:$F,MOVIMIENTOS!$A:$A,"&gt;="&amp;DATE(PORTADA!$B$2,3,1),MOVIMIENTOS!$A:$A,"&lt;="&amp;EOMONTH(DATE(PORTADA!$B$2,3,1),0),MOVIMIENTOS!$E:$E,"GASTO")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SUMIFS(MOVIMIENTOS!$F:$F,MOVIMIENTOS!$A:$A,"&gt;="&amp;DATE(PORTADA!$B$2,3,1),MOVIMIENTOS!$A:$A,"&lt;="&amp;EOMONTH(DATE(PORTADA!$B$2,3,1),0),MOVIMIENTOS!$E:$E,"AHORRO")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SUMIFS(MOVIMIENTOS!$F:$F,MOVIMIENTOS!$A:$A,"&gt;="&amp;DATE(PORTADA!$B$2,3,1),MOVIMIENTOS!$A:$A,"&lt;="&amp;EOMONTH(DATE(PORTADA!$B$2,3,1),0),MOVIMIENTOS!$E:$E,"DEUDA")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ABRIL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IF(DAY(DATE(PORTADA!$B$2,4,1))&lt;&gt;1,"",1)</f>
        <v/>
      </c>
      <c r="T5" s="22">
        <f>IF(DAY(DATE(PORTADA!$B$2,4,1))&lt;&gt;1,"",SUMIFS(MOVIMIENTOS!$F:$F,MOVIMIENTOS!$A:$A,DATE(PORTADA!$B$2,4,1),MOVIMIENTOS!$C:$C,T$4))</f>
        <v/>
      </c>
      <c r="U5" s="22">
        <f>IF(DAY(DATE(PORTADA!$B$2,4,1))&lt;&gt;1,"",SUMIFS(MOVIMIENTOS!$F:$F,MOVIMIENTOS!$A:$A,DATE(PORTADA!$B$2,4,1),MOVIMIENTOS!$C:$C,U$4))</f>
        <v/>
      </c>
      <c r="V5" s="22">
        <f>IF(DAY(DATE(PORTADA!$B$2,4,1))&lt;&gt;1,"",SUMIFS(MOVIMIENTOS!$F:$F,MOVIMIENTOS!$A:$A,DATE(PORTADA!$B$2,4,1),MOVIMIENTOS!$C:$C,V$4))</f>
        <v/>
      </c>
      <c r="W5" s="22">
        <f>IF(DAY(DATE(PORTADA!$B$2,4,1))&lt;&gt;1,"",SUMIFS(MOVIMIENTOS!$F:$F,MOVIMIENTOS!$A:$A,DATE(PORTADA!$B$2,4,1),MOVIMIENTOS!$C:$C,W$4))</f>
        <v/>
      </c>
      <c r="X5" s="22">
        <f>IF(DAY(DATE(PORTADA!$B$2,4,1))&lt;&gt;1,"",SUMIFS(MOVIMIENTOS!$F:$F,MOVIMIENTOS!$A:$A,DATE(PORTADA!$B$2,4,1),MOVIMIENTOS!$C:$C,X$4))</f>
        <v/>
      </c>
      <c r="Y5" s="22">
        <f>IF(DAY(DATE(PORTADA!$B$2,4,1))&lt;&gt;1,"",SUMIFS(MOVIMIENTOS!$F:$F,MOVIMIENTOS!$A:$A,DATE(PORTADA!$B$2,4,1),MOVIMIENTOS!$C:$C,Y$4))</f>
        <v/>
      </c>
      <c r="Z5" s="22">
        <f>IF(DAY(DATE(PORTADA!$B$2,4,1))&lt;&gt;1,"",SUMIFS(MOVIMIENTOS!$F:$F,MOVIMIENTOS!$A:$A,DATE(PORTADA!$B$2,4,1),MOVIMIENTOS!$C:$C,Z$4))</f>
        <v/>
      </c>
      <c r="AA5" s="22">
        <f>IF(DAY(DATE(PORTADA!$B$2,4,1))&lt;&gt;1,"",SUM(T5:Z5))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SUMIFS(MOVIMIENTOS!$F:$F,MOVIMIENTOS!$A:$A,"&gt;="&amp;DATE(PORTADA!$B$2,4,1),MOVIMIENTOS!$A:$A,"&lt;="&amp;EOMONTH(DATE(PORTADA!$B$2,4,1),0),MOVIMIENTOS!$D:$D,$B6)</f>
        <v/>
      </c>
      <c r="E6" s="8">
        <f>D6-C6</f>
        <v/>
      </c>
      <c r="F6" s="9">
        <f>IFERROR(D6/C6,"")</f>
        <v/>
      </c>
      <c r="S6" s="21">
        <f>IF(DAY(DATE(PORTADA!$B$2,4,2))&lt;&gt;2,"",2)</f>
        <v/>
      </c>
      <c r="T6" s="22">
        <f>IF(DAY(DATE(PORTADA!$B$2,4,2))&lt;&gt;2,"",SUMIFS(MOVIMIENTOS!$F:$F,MOVIMIENTOS!$A:$A,DATE(PORTADA!$B$2,4,2),MOVIMIENTOS!$C:$C,T$4))</f>
        <v/>
      </c>
      <c r="U6" s="22">
        <f>IF(DAY(DATE(PORTADA!$B$2,4,2))&lt;&gt;2,"",SUMIFS(MOVIMIENTOS!$F:$F,MOVIMIENTOS!$A:$A,DATE(PORTADA!$B$2,4,2),MOVIMIENTOS!$C:$C,U$4))</f>
        <v/>
      </c>
      <c r="V6" s="22">
        <f>IF(DAY(DATE(PORTADA!$B$2,4,2))&lt;&gt;2,"",SUMIFS(MOVIMIENTOS!$F:$F,MOVIMIENTOS!$A:$A,DATE(PORTADA!$B$2,4,2),MOVIMIENTOS!$C:$C,V$4))</f>
        <v/>
      </c>
      <c r="W6" s="22">
        <f>IF(DAY(DATE(PORTADA!$B$2,4,2))&lt;&gt;2,"",SUMIFS(MOVIMIENTOS!$F:$F,MOVIMIENTOS!$A:$A,DATE(PORTADA!$B$2,4,2),MOVIMIENTOS!$C:$C,W$4))</f>
        <v/>
      </c>
      <c r="X6" s="22">
        <f>IF(DAY(DATE(PORTADA!$B$2,4,2))&lt;&gt;2,"",SUMIFS(MOVIMIENTOS!$F:$F,MOVIMIENTOS!$A:$A,DATE(PORTADA!$B$2,4,2),MOVIMIENTOS!$C:$C,X$4))</f>
        <v/>
      </c>
      <c r="Y6" s="22">
        <f>IF(DAY(DATE(PORTADA!$B$2,4,2))&lt;&gt;2,"",SUMIFS(MOVIMIENTOS!$F:$F,MOVIMIENTOS!$A:$A,DATE(PORTADA!$B$2,4,2),MOVIMIENTOS!$C:$C,Y$4))</f>
        <v/>
      </c>
      <c r="Z6" s="22">
        <f>IF(DAY(DATE(PORTADA!$B$2,4,2))&lt;&gt;2,"",SUMIFS(MOVIMIENTOS!$F:$F,MOVIMIENTOS!$A:$A,DATE(PORTADA!$B$2,4,2),MOVIMIENTOS!$C:$C,Z$4))</f>
        <v/>
      </c>
      <c r="AA6" s="22">
        <f>IF(DAY(DATE(PORTADA!$B$2,4,2))&lt;&gt;2,"",SUM(T6:Z6))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SUMIFS(MOVIMIENTOS!$F:$F,MOVIMIENTOS!$A:$A,"&gt;="&amp;DATE(PORTADA!$B$2,4,1),MOVIMIENTOS!$A:$A,"&lt;="&amp;EOMONTH(DATE(PORTADA!$B$2,4,1),0),MOVIMIENTOS!$D:$D,$B7)</f>
        <v/>
      </c>
      <c r="E7" s="8">
        <f>D7-C7</f>
        <v/>
      </c>
      <c r="F7" s="9">
        <f>IFERROR(D7/C7,"")</f>
        <v/>
      </c>
      <c r="S7" s="21">
        <f>IF(DAY(DATE(PORTADA!$B$2,4,3))&lt;&gt;3,"",3)</f>
        <v/>
      </c>
      <c r="T7" s="22">
        <f>IF(DAY(DATE(PORTADA!$B$2,4,3))&lt;&gt;3,"",SUMIFS(MOVIMIENTOS!$F:$F,MOVIMIENTOS!$A:$A,DATE(PORTADA!$B$2,4,3),MOVIMIENTOS!$C:$C,T$4))</f>
        <v/>
      </c>
      <c r="U7" s="22">
        <f>IF(DAY(DATE(PORTADA!$B$2,4,3))&lt;&gt;3,"",SUMIFS(MOVIMIENTOS!$F:$F,MOVIMIENTOS!$A:$A,DATE(PORTADA!$B$2,4,3),MOVIMIENTOS!$C:$C,U$4))</f>
        <v/>
      </c>
      <c r="V7" s="22">
        <f>IF(DAY(DATE(PORTADA!$B$2,4,3))&lt;&gt;3,"",SUMIFS(MOVIMIENTOS!$F:$F,MOVIMIENTOS!$A:$A,DATE(PORTADA!$B$2,4,3),MOVIMIENTOS!$C:$C,V$4))</f>
        <v/>
      </c>
      <c r="W7" s="22">
        <f>IF(DAY(DATE(PORTADA!$B$2,4,3))&lt;&gt;3,"",SUMIFS(MOVIMIENTOS!$F:$F,MOVIMIENTOS!$A:$A,DATE(PORTADA!$B$2,4,3),MOVIMIENTOS!$C:$C,W$4))</f>
        <v/>
      </c>
      <c r="X7" s="22">
        <f>IF(DAY(DATE(PORTADA!$B$2,4,3))&lt;&gt;3,"",SUMIFS(MOVIMIENTOS!$F:$F,MOVIMIENTOS!$A:$A,DATE(PORTADA!$B$2,4,3),MOVIMIENTOS!$C:$C,X$4))</f>
        <v/>
      </c>
      <c r="Y7" s="22">
        <f>IF(DAY(DATE(PORTADA!$B$2,4,3))&lt;&gt;3,"",SUMIFS(MOVIMIENTOS!$F:$F,MOVIMIENTOS!$A:$A,DATE(PORTADA!$B$2,4,3),MOVIMIENTOS!$C:$C,Y$4))</f>
        <v/>
      </c>
      <c r="Z7" s="22">
        <f>IF(DAY(DATE(PORTADA!$B$2,4,3))&lt;&gt;3,"",SUMIFS(MOVIMIENTOS!$F:$F,MOVIMIENTOS!$A:$A,DATE(PORTADA!$B$2,4,3),MOVIMIENTOS!$C:$C,Z$4))</f>
        <v/>
      </c>
      <c r="AA7" s="22">
        <f>IF(DAY(DATE(PORTADA!$B$2,4,3))&lt;&gt;3,"",SUM(T7:Z7))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SUMIFS(MOVIMIENTOS!$F:$F,MOVIMIENTOS!$A:$A,"&gt;="&amp;DATE(PORTADA!$B$2,4,1),MOVIMIENTOS!$A:$A,"&lt;="&amp;EOMONTH(DATE(PORTADA!$B$2,4,1),0),MOVIMIENTOS!$D:$D,$B8)</f>
        <v/>
      </c>
      <c r="E8" s="8">
        <f>D8-C8</f>
        <v/>
      </c>
      <c r="F8" s="9">
        <f>IFERROR(D8/C8,"")</f>
        <v/>
      </c>
      <c r="S8" s="21">
        <f>IF(DAY(DATE(PORTADA!$B$2,4,4))&lt;&gt;4,"",4)</f>
        <v/>
      </c>
      <c r="T8" s="22">
        <f>IF(DAY(DATE(PORTADA!$B$2,4,4))&lt;&gt;4,"",SUMIFS(MOVIMIENTOS!$F:$F,MOVIMIENTOS!$A:$A,DATE(PORTADA!$B$2,4,4),MOVIMIENTOS!$C:$C,T$4))</f>
        <v/>
      </c>
      <c r="U8" s="22">
        <f>IF(DAY(DATE(PORTADA!$B$2,4,4))&lt;&gt;4,"",SUMIFS(MOVIMIENTOS!$F:$F,MOVIMIENTOS!$A:$A,DATE(PORTADA!$B$2,4,4),MOVIMIENTOS!$C:$C,U$4))</f>
        <v/>
      </c>
      <c r="V8" s="22">
        <f>IF(DAY(DATE(PORTADA!$B$2,4,4))&lt;&gt;4,"",SUMIFS(MOVIMIENTOS!$F:$F,MOVIMIENTOS!$A:$A,DATE(PORTADA!$B$2,4,4),MOVIMIENTOS!$C:$C,V$4))</f>
        <v/>
      </c>
      <c r="W8" s="22">
        <f>IF(DAY(DATE(PORTADA!$B$2,4,4))&lt;&gt;4,"",SUMIFS(MOVIMIENTOS!$F:$F,MOVIMIENTOS!$A:$A,DATE(PORTADA!$B$2,4,4),MOVIMIENTOS!$C:$C,W$4))</f>
        <v/>
      </c>
      <c r="X8" s="22">
        <f>IF(DAY(DATE(PORTADA!$B$2,4,4))&lt;&gt;4,"",SUMIFS(MOVIMIENTOS!$F:$F,MOVIMIENTOS!$A:$A,DATE(PORTADA!$B$2,4,4),MOVIMIENTOS!$C:$C,X$4))</f>
        <v/>
      </c>
      <c r="Y8" s="22">
        <f>IF(DAY(DATE(PORTADA!$B$2,4,4))&lt;&gt;4,"",SUMIFS(MOVIMIENTOS!$F:$F,MOVIMIENTOS!$A:$A,DATE(PORTADA!$B$2,4,4),MOVIMIENTOS!$C:$C,Y$4))</f>
        <v/>
      </c>
      <c r="Z8" s="22">
        <f>IF(DAY(DATE(PORTADA!$B$2,4,4))&lt;&gt;4,"",SUMIFS(MOVIMIENTOS!$F:$F,MOVIMIENTOS!$A:$A,DATE(PORTADA!$B$2,4,4),MOVIMIENTOS!$C:$C,Z$4))</f>
        <v/>
      </c>
      <c r="AA8" s="22">
        <f>IF(DAY(DATE(PORTADA!$B$2,4,4))&lt;&gt;4,"",SUM(T8:Z8))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SUMIFS(MOVIMIENTOS!$F:$F,MOVIMIENTOS!$A:$A,"&gt;="&amp;DATE(PORTADA!$B$2,4,1),MOVIMIENTOS!$A:$A,"&lt;="&amp;EOMONTH(DATE(PORTADA!$B$2,4,1),0),MOVIMIENTOS!$D:$D,$B9)</f>
        <v/>
      </c>
      <c r="E9" s="8">
        <f>D9-C9</f>
        <v/>
      </c>
      <c r="F9" s="9">
        <f>IFERROR(D9/C9,"")</f>
        <v/>
      </c>
      <c r="S9" s="21">
        <f>IF(DAY(DATE(PORTADA!$B$2,4,5))&lt;&gt;5,"",5)</f>
        <v/>
      </c>
      <c r="T9" s="22">
        <f>IF(DAY(DATE(PORTADA!$B$2,4,5))&lt;&gt;5,"",SUMIFS(MOVIMIENTOS!$F:$F,MOVIMIENTOS!$A:$A,DATE(PORTADA!$B$2,4,5),MOVIMIENTOS!$C:$C,T$4))</f>
        <v/>
      </c>
      <c r="U9" s="22">
        <f>IF(DAY(DATE(PORTADA!$B$2,4,5))&lt;&gt;5,"",SUMIFS(MOVIMIENTOS!$F:$F,MOVIMIENTOS!$A:$A,DATE(PORTADA!$B$2,4,5),MOVIMIENTOS!$C:$C,U$4))</f>
        <v/>
      </c>
      <c r="V9" s="22">
        <f>IF(DAY(DATE(PORTADA!$B$2,4,5))&lt;&gt;5,"",SUMIFS(MOVIMIENTOS!$F:$F,MOVIMIENTOS!$A:$A,DATE(PORTADA!$B$2,4,5),MOVIMIENTOS!$C:$C,V$4))</f>
        <v/>
      </c>
      <c r="W9" s="22">
        <f>IF(DAY(DATE(PORTADA!$B$2,4,5))&lt;&gt;5,"",SUMIFS(MOVIMIENTOS!$F:$F,MOVIMIENTOS!$A:$A,DATE(PORTADA!$B$2,4,5),MOVIMIENTOS!$C:$C,W$4))</f>
        <v/>
      </c>
      <c r="X9" s="22">
        <f>IF(DAY(DATE(PORTADA!$B$2,4,5))&lt;&gt;5,"",SUMIFS(MOVIMIENTOS!$F:$F,MOVIMIENTOS!$A:$A,DATE(PORTADA!$B$2,4,5),MOVIMIENTOS!$C:$C,X$4))</f>
        <v/>
      </c>
      <c r="Y9" s="22">
        <f>IF(DAY(DATE(PORTADA!$B$2,4,5))&lt;&gt;5,"",SUMIFS(MOVIMIENTOS!$F:$F,MOVIMIENTOS!$A:$A,DATE(PORTADA!$B$2,4,5),MOVIMIENTOS!$C:$C,Y$4))</f>
        <v/>
      </c>
      <c r="Z9" s="22">
        <f>IF(DAY(DATE(PORTADA!$B$2,4,5))&lt;&gt;5,"",SUMIFS(MOVIMIENTOS!$F:$F,MOVIMIENTOS!$A:$A,DATE(PORTADA!$B$2,4,5),MOVIMIENTOS!$C:$C,Z$4))</f>
        <v/>
      </c>
      <c r="AA9" s="22">
        <f>IF(DAY(DATE(PORTADA!$B$2,4,5))&lt;&gt;5,"",SUM(T9:Z9))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SUMIFS(MOVIMIENTOS!$F:$F,MOVIMIENTOS!$A:$A,"&gt;="&amp;DATE(PORTADA!$B$2,4,1),MOVIMIENTOS!$A:$A,"&lt;="&amp;EOMONTH(DATE(PORTADA!$B$2,4,1),0),MOVIMIENTOS!$D:$D,$B10)</f>
        <v/>
      </c>
      <c r="E10" s="8">
        <f>D10-C10</f>
        <v/>
      </c>
      <c r="F10" s="9">
        <f>IFERROR(D10/C10,"")</f>
        <v/>
      </c>
      <c r="S10" s="21">
        <f>IF(DAY(DATE(PORTADA!$B$2,4,6))&lt;&gt;6,"",6)</f>
        <v/>
      </c>
      <c r="T10" s="22">
        <f>IF(DAY(DATE(PORTADA!$B$2,4,6))&lt;&gt;6,"",SUMIFS(MOVIMIENTOS!$F:$F,MOVIMIENTOS!$A:$A,DATE(PORTADA!$B$2,4,6),MOVIMIENTOS!$C:$C,T$4))</f>
        <v/>
      </c>
      <c r="U10" s="22">
        <f>IF(DAY(DATE(PORTADA!$B$2,4,6))&lt;&gt;6,"",SUMIFS(MOVIMIENTOS!$F:$F,MOVIMIENTOS!$A:$A,DATE(PORTADA!$B$2,4,6),MOVIMIENTOS!$C:$C,U$4))</f>
        <v/>
      </c>
      <c r="V10" s="22">
        <f>IF(DAY(DATE(PORTADA!$B$2,4,6))&lt;&gt;6,"",SUMIFS(MOVIMIENTOS!$F:$F,MOVIMIENTOS!$A:$A,DATE(PORTADA!$B$2,4,6),MOVIMIENTOS!$C:$C,V$4))</f>
        <v/>
      </c>
      <c r="W10" s="22">
        <f>IF(DAY(DATE(PORTADA!$B$2,4,6))&lt;&gt;6,"",SUMIFS(MOVIMIENTOS!$F:$F,MOVIMIENTOS!$A:$A,DATE(PORTADA!$B$2,4,6),MOVIMIENTOS!$C:$C,W$4))</f>
        <v/>
      </c>
      <c r="X10" s="22">
        <f>IF(DAY(DATE(PORTADA!$B$2,4,6))&lt;&gt;6,"",SUMIFS(MOVIMIENTOS!$F:$F,MOVIMIENTOS!$A:$A,DATE(PORTADA!$B$2,4,6),MOVIMIENTOS!$C:$C,X$4))</f>
        <v/>
      </c>
      <c r="Y10" s="22">
        <f>IF(DAY(DATE(PORTADA!$B$2,4,6))&lt;&gt;6,"",SUMIFS(MOVIMIENTOS!$F:$F,MOVIMIENTOS!$A:$A,DATE(PORTADA!$B$2,4,6),MOVIMIENTOS!$C:$C,Y$4))</f>
        <v/>
      </c>
      <c r="Z10" s="22">
        <f>IF(DAY(DATE(PORTADA!$B$2,4,6))&lt;&gt;6,"",SUMIFS(MOVIMIENTOS!$F:$F,MOVIMIENTOS!$A:$A,DATE(PORTADA!$B$2,4,6),MOVIMIENTOS!$C:$C,Z$4))</f>
        <v/>
      </c>
      <c r="AA10" s="22">
        <f>IF(DAY(DATE(PORTADA!$B$2,4,6))&lt;&gt;6,"",SUM(T10:Z10))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SUMIFS(MOVIMIENTOS!$F:$F,MOVIMIENTOS!$A:$A,"&gt;="&amp;DATE(PORTADA!$B$2,4,1),MOVIMIENTOS!$A:$A,"&lt;="&amp;EOMONTH(DATE(PORTADA!$B$2,4,1),0),MOVIMIENTOS!$D:$D,$B11)</f>
        <v/>
      </c>
      <c r="E11" s="8">
        <f>D11-C11</f>
        <v/>
      </c>
      <c r="F11" s="9">
        <f>IFERROR(D11/C11,"")</f>
        <v/>
      </c>
      <c r="S11" s="21">
        <f>IF(DAY(DATE(PORTADA!$B$2,4,7))&lt;&gt;7,"",7)</f>
        <v/>
      </c>
      <c r="T11" s="22">
        <f>IF(DAY(DATE(PORTADA!$B$2,4,7))&lt;&gt;7,"",SUMIFS(MOVIMIENTOS!$F:$F,MOVIMIENTOS!$A:$A,DATE(PORTADA!$B$2,4,7),MOVIMIENTOS!$C:$C,T$4))</f>
        <v/>
      </c>
      <c r="U11" s="22">
        <f>IF(DAY(DATE(PORTADA!$B$2,4,7))&lt;&gt;7,"",SUMIFS(MOVIMIENTOS!$F:$F,MOVIMIENTOS!$A:$A,DATE(PORTADA!$B$2,4,7),MOVIMIENTOS!$C:$C,U$4))</f>
        <v/>
      </c>
      <c r="V11" s="22">
        <f>IF(DAY(DATE(PORTADA!$B$2,4,7))&lt;&gt;7,"",SUMIFS(MOVIMIENTOS!$F:$F,MOVIMIENTOS!$A:$A,DATE(PORTADA!$B$2,4,7),MOVIMIENTOS!$C:$C,V$4))</f>
        <v/>
      </c>
      <c r="W11" s="22">
        <f>IF(DAY(DATE(PORTADA!$B$2,4,7))&lt;&gt;7,"",SUMIFS(MOVIMIENTOS!$F:$F,MOVIMIENTOS!$A:$A,DATE(PORTADA!$B$2,4,7),MOVIMIENTOS!$C:$C,W$4))</f>
        <v/>
      </c>
      <c r="X11" s="22">
        <f>IF(DAY(DATE(PORTADA!$B$2,4,7))&lt;&gt;7,"",SUMIFS(MOVIMIENTOS!$F:$F,MOVIMIENTOS!$A:$A,DATE(PORTADA!$B$2,4,7),MOVIMIENTOS!$C:$C,X$4))</f>
        <v/>
      </c>
      <c r="Y11" s="22">
        <f>IF(DAY(DATE(PORTADA!$B$2,4,7))&lt;&gt;7,"",SUMIFS(MOVIMIENTOS!$F:$F,MOVIMIENTOS!$A:$A,DATE(PORTADA!$B$2,4,7),MOVIMIENTOS!$C:$C,Y$4))</f>
        <v/>
      </c>
      <c r="Z11" s="22">
        <f>IF(DAY(DATE(PORTADA!$B$2,4,7))&lt;&gt;7,"",SUMIFS(MOVIMIENTOS!$F:$F,MOVIMIENTOS!$A:$A,DATE(PORTADA!$B$2,4,7),MOVIMIENTOS!$C:$C,Z$4))</f>
        <v/>
      </c>
      <c r="AA11" s="22">
        <f>IF(DAY(DATE(PORTADA!$B$2,4,7))&lt;&gt;7,"",SUM(T11:Z11))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SUMIFS(MOVIMIENTOS!$F:$F,MOVIMIENTOS!$A:$A,"&gt;="&amp;DATE(PORTADA!$B$2,4,1),MOVIMIENTOS!$A:$A,"&lt;="&amp;EOMONTH(DATE(PORTADA!$B$2,4,1),0),MOVIMIENTOS!$D:$D,$B12)</f>
        <v/>
      </c>
      <c r="E12" s="8">
        <f>D12-C12</f>
        <v/>
      </c>
      <c r="F12" s="9">
        <f>IFERROR(D12/C12,"")</f>
        <v/>
      </c>
      <c r="S12" s="21">
        <f>IF(DAY(DATE(PORTADA!$B$2,4,8))&lt;&gt;8,"",8)</f>
        <v/>
      </c>
      <c r="T12" s="22">
        <f>IF(DAY(DATE(PORTADA!$B$2,4,8))&lt;&gt;8,"",SUMIFS(MOVIMIENTOS!$F:$F,MOVIMIENTOS!$A:$A,DATE(PORTADA!$B$2,4,8),MOVIMIENTOS!$C:$C,T$4))</f>
        <v/>
      </c>
      <c r="U12" s="22">
        <f>IF(DAY(DATE(PORTADA!$B$2,4,8))&lt;&gt;8,"",SUMIFS(MOVIMIENTOS!$F:$F,MOVIMIENTOS!$A:$A,DATE(PORTADA!$B$2,4,8),MOVIMIENTOS!$C:$C,U$4))</f>
        <v/>
      </c>
      <c r="V12" s="22">
        <f>IF(DAY(DATE(PORTADA!$B$2,4,8))&lt;&gt;8,"",SUMIFS(MOVIMIENTOS!$F:$F,MOVIMIENTOS!$A:$A,DATE(PORTADA!$B$2,4,8),MOVIMIENTOS!$C:$C,V$4))</f>
        <v/>
      </c>
      <c r="W12" s="22">
        <f>IF(DAY(DATE(PORTADA!$B$2,4,8))&lt;&gt;8,"",SUMIFS(MOVIMIENTOS!$F:$F,MOVIMIENTOS!$A:$A,DATE(PORTADA!$B$2,4,8),MOVIMIENTOS!$C:$C,W$4))</f>
        <v/>
      </c>
      <c r="X12" s="22">
        <f>IF(DAY(DATE(PORTADA!$B$2,4,8))&lt;&gt;8,"",SUMIFS(MOVIMIENTOS!$F:$F,MOVIMIENTOS!$A:$A,DATE(PORTADA!$B$2,4,8),MOVIMIENTOS!$C:$C,X$4))</f>
        <v/>
      </c>
      <c r="Y12" s="22">
        <f>IF(DAY(DATE(PORTADA!$B$2,4,8))&lt;&gt;8,"",SUMIFS(MOVIMIENTOS!$F:$F,MOVIMIENTOS!$A:$A,DATE(PORTADA!$B$2,4,8),MOVIMIENTOS!$C:$C,Y$4))</f>
        <v/>
      </c>
      <c r="Z12" s="22">
        <f>IF(DAY(DATE(PORTADA!$B$2,4,8))&lt;&gt;8,"",SUMIFS(MOVIMIENTOS!$F:$F,MOVIMIENTOS!$A:$A,DATE(PORTADA!$B$2,4,8),MOVIMIENTOS!$C:$C,Z$4))</f>
        <v/>
      </c>
      <c r="AA12" s="22">
        <f>IF(DAY(DATE(PORTADA!$B$2,4,8))&lt;&gt;8,"",SUM(T12:Z12))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IF(DAY(DATE(PORTADA!$B$2,4,9))&lt;&gt;9,"",9)</f>
        <v/>
      </c>
      <c r="T13" s="22">
        <f>IF(DAY(DATE(PORTADA!$B$2,4,9))&lt;&gt;9,"",SUMIFS(MOVIMIENTOS!$F:$F,MOVIMIENTOS!$A:$A,DATE(PORTADA!$B$2,4,9),MOVIMIENTOS!$C:$C,T$4))</f>
        <v/>
      </c>
      <c r="U13" s="22">
        <f>IF(DAY(DATE(PORTADA!$B$2,4,9))&lt;&gt;9,"",SUMIFS(MOVIMIENTOS!$F:$F,MOVIMIENTOS!$A:$A,DATE(PORTADA!$B$2,4,9),MOVIMIENTOS!$C:$C,U$4))</f>
        <v/>
      </c>
      <c r="V13" s="22">
        <f>IF(DAY(DATE(PORTADA!$B$2,4,9))&lt;&gt;9,"",SUMIFS(MOVIMIENTOS!$F:$F,MOVIMIENTOS!$A:$A,DATE(PORTADA!$B$2,4,9),MOVIMIENTOS!$C:$C,V$4))</f>
        <v/>
      </c>
      <c r="W13" s="22">
        <f>IF(DAY(DATE(PORTADA!$B$2,4,9))&lt;&gt;9,"",SUMIFS(MOVIMIENTOS!$F:$F,MOVIMIENTOS!$A:$A,DATE(PORTADA!$B$2,4,9),MOVIMIENTOS!$C:$C,W$4))</f>
        <v/>
      </c>
      <c r="X13" s="22">
        <f>IF(DAY(DATE(PORTADA!$B$2,4,9))&lt;&gt;9,"",SUMIFS(MOVIMIENTOS!$F:$F,MOVIMIENTOS!$A:$A,DATE(PORTADA!$B$2,4,9),MOVIMIENTOS!$C:$C,X$4))</f>
        <v/>
      </c>
      <c r="Y13" s="22">
        <f>IF(DAY(DATE(PORTADA!$B$2,4,9))&lt;&gt;9,"",SUMIFS(MOVIMIENTOS!$F:$F,MOVIMIENTOS!$A:$A,DATE(PORTADA!$B$2,4,9),MOVIMIENTOS!$C:$C,Y$4))</f>
        <v/>
      </c>
      <c r="Z13" s="22">
        <f>IF(DAY(DATE(PORTADA!$B$2,4,9))&lt;&gt;9,"",SUMIFS(MOVIMIENTOS!$F:$F,MOVIMIENTOS!$A:$A,DATE(PORTADA!$B$2,4,9),MOVIMIENTOS!$C:$C,Z$4))</f>
        <v/>
      </c>
      <c r="AA13" s="22">
        <f>IF(DAY(DATE(PORTADA!$B$2,4,9))&lt;&gt;9,"",SUM(T13:Z13))</f>
        <v/>
      </c>
    </row>
    <row r="14">
      <c r="S14" s="21">
        <f>IF(DAY(DATE(PORTADA!$B$2,4,10))&lt;&gt;10,"",10)</f>
        <v/>
      </c>
      <c r="T14" s="22">
        <f>IF(DAY(DATE(PORTADA!$B$2,4,10))&lt;&gt;10,"",SUMIFS(MOVIMIENTOS!$F:$F,MOVIMIENTOS!$A:$A,DATE(PORTADA!$B$2,4,10),MOVIMIENTOS!$C:$C,T$4))</f>
        <v/>
      </c>
      <c r="U14" s="22">
        <f>IF(DAY(DATE(PORTADA!$B$2,4,10))&lt;&gt;10,"",SUMIFS(MOVIMIENTOS!$F:$F,MOVIMIENTOS!$A:$A,DATE(PORTADA!$B$2,4,10),MOVIMIENTOS!$C:$C,U$4))</f>
        <v/>
      </c>
      <c r="V14" s="22">
        <f>IF(DAY(DATE(PORTADA!$B$2,4,10))&lt;&gt;10,"",SUMIFS(MOVIMIENTOS!$F:$F,MOVIMIENTOS!$A:$A,DATE(PORTADA!$B$2,4,10),MOVIMIENTOS!$C:$C,V$4))</f>
        <v/>
      </c>
      <c r="W14" s="22">
        <f>IF(DAY(DATE(PORTADA!$B$2,4,10))&lt;&gt;10,"",SUMIFS(MOVIMIENTOS!$F:$F,MOVIMIENTOS!$A:$A,DATE(PORTADA!$B$2,4,10),MOVIMIENTOS!$C:$C,W$4))</f>
        <v/>
      </c>
      <c r="X14" s="22">
        <f>IF(DAY(DATE(PORTADA!$B$2,4,10))&lt;&gt;10,"",SUMIFS(MOVIMIENTOS!$F:$F,MOVIMIENTOS!$A:$A,DATE(PORTADA!$B$2,4,10),MOVIMIENTOS!$C:$C,X$4))</f>
        <v/>
      </c>
      <c r="Y14" s="22">
        <f>IF(DAY(DATE(PORTADA!$B$2,4,10))&lt;&gt;10,"",SUMIFS(MOVIMIENTOS!$F:$F,MOVIMIENTOS!$A:$A,DATE(PORTADA!$B$2,4,10),MOVIMIENTOS!$C:$C,Y$4))</f>
        <v/>
      </c>
      <c r="Z14" s="22">
        <f>IF(DAY(DATE(PORTADA!$B$2,4,10))&lt;&gt;10,"",SUMIFS(MOVIMIENTOS!$F:$F,MOVIMIENTOS!$A:$A,DATE(PORTADA!$B$2,4,10),MOVIMIENTOS!$C:$C,Z$4))</f>
        <v/>
      </c>
      <c r="AA14" s="22">
        <f>IF(DAY(DATE(PORTADA!$B$2,4,10))&lt;&gt;10,"",SUM(T14:Z14))</f>
        <v/>
      </c>
    </row>
    <row r="15">
      <c r="A15" s="2" t="inlineStr">
        <is>
          <t>EGRESOS</t>
        </is>
      </c>
      <c r="S15" s="21">
        <f>IF(DAY(DATE(PORTADA!$B$2,4,11))&lt;&gt;11,"",11)</f>
        <v/>
      </c>
      <c r="T15" s="22">
        <f>IF(DAY(DATE(PORTADA!$B$2,4,11))&lt;&gt;11,"",SUMIFS(MOVIMIENTOS!$F:$F,MOVIMIENTOS!$A:$A,DATE(PORTADA!$B$2,4,11),MOVIMIENTOS!$C:$C,T$4))</f>
        <v/>
      </c>
      <c r="U15" s="22">
        <f>IF(DAY(DATE(PORTADA!$B$2,4,11))&lt;&gt;11,"",SUMIFS(MOVIMIENTOS!$F:$F,MOVIMIENTOS!$A:$A,DATE(PORTADA!$B$2,4,11),MOVIMIENTOS!$C:$C,U$4))</f>
        <v/>
      </c>
      <c r="V15" s="22">
        <f>IF(DAY(DATE(PORTADA!$B$2,4,11))&lt;&gt;11,"",SUMIFS(MOVIMIENTOS!$F:$F,MOVIMIENTOS!$A:$A,DATE(PORTADA!$B$2,4,11),MOVIMIENTOS!$C:$C,V$4))</f>
        <v/>
      </c>
      <c r="W15" s="22">
        <f>IF(DAY(DATE(PORTADA!$B$2,4,11))&lt;&gt;11,"",SUMIFS(MOVIMIENTOS!$F:$F,MOVIMIENTOS!$A:$A,DATE(PORTADA!$B$2,4,11),MOVIMIENTOS!$C:$C,W$4))</f>
        <v/>
      </c>
      <c r="X15" s="22">
        <f>IF(DAY(DATE(PORTADA!$B$2,4,11))&lt;&gt;11,"",SUMIFS(MOVIMIENTOS!$F:$F,MOVIMIENTOS!$A:$A,DATE(PORTADA!$B$2,4,11),MOVIMIENTOS!$C:$C,X$4))</f>
        <v/>
      </c>
      <c r="Y15" s="22">
        <f>IF(DAY(DATE(PORTADA!$B$2,4,11))&lt;&gt;11,"",SUMIFS(MOVIMIENTOS!$F:$F,MOVIMIENTOS!$A:$A,DATE(PORTADA!$B$2,4,11),MOVIMIENTOS!$C:$C,Y$4))</f>
        <v/>
      </c>
      <c r="Z15" s="22">
        <f>IF(DAY(DATE(PORTADA!$B$2,4,11))&lt;&gt;11,"",SUMIFS(MOVIMIENTOS!$F:$F,MOVIMIENTOS!$A:$A,DATE(PORTADA!$B$2,4,11),MOVIMIENTOS!$C:$C,Z$4))</f>
        <v/>
      </c>
      <c r="AA15" s="22">
        <f>IF(DAY(DATE(PORTADA!$B$2,4,11))&lt;&gt;11,"",SUM(T15:Z15))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IF(DAY(DATE(PORTADA!$B$2,4,12))&lt;&gt;12,"",12)</f>
        <v/>
      </c>
      <c r="T16" s="22">
        <f>IF(DAY(DATE(PORTADA!$B$2,4,12))&lt;&gt;12,"",SUMIFS(MOVIMIENTOS!$F:$F,MOVIMIENTOS!$A:$A,DATE(PORTADA!$B$2,4,12),MOVIMIENTOS!$C:$C,T$4))</f>
        <v/>
      </c>
      <c r="U16" s="22">
        <f>IF(DAY(DATE(PORTADA!$B$2,4,12))&lt;&gt;12,"",SUMIFS(MOVIMIENTOS!$F:$F,MOVIMIENTOS!$A:$A,DATE(PORTADA!$B$2,4,12),MOVIMIENTOS!$C:$C,U$4))</f>
        <v/>
      </c>
      <c r="V16" s="22">
        <f>IF(DAY(DATE(PORTADA!$B$2,4,12))&lt;&gt;12,"",SUMIFS(MOVIMIENTOS!$F:$F,MOVIMIENTOS!$A:$A,DATE(PORTADA!$B$2,4,12),MOVIMIENTOS!$C:$C,V$4))</f>
        <v/>
      </c>
      <c r="W16" s="22">
        <f>IF(DAY(DATE(PORTADA!$B$2,4,12))&lt;&gt;12,"",SUMIFS(MOVIMIENTOS!$F:$F,MOVIMIENTOS!$A:$A,DATE(PORTADA!$B$2,4,12),MOVIMIENTOS!$C:$C,W$4))</f>
        <v/>
      </c>
      <c r="X16" s="22">
        <f>IF(DAY(DATE(PORTADA!$B$2,4,12))&lt;&gt;12,"",SUMIFS(MOVIMIENTOS!$F:$F,MOVIMIENTOS!$A:$A,DATE(PORTADA!$B$2,4,12),MOVIMIENTOS!$C:$C,X$4))</f>
        <v/>
      </c>
      <c r="Y16" s="22">
        <f>IF(DAY(DATE(PORTADA!$B$2,4,12))&lt;&gt;12,"",SUMIFS(MOVIMIENTOS!$F:$F,MOVIMIENTOS!$A:$A,DATE(PORTADA!$B$2,4,12),MOVIMIENTOS!$C:$C,Y$4))</f>
        <v/>
      </c>
      <c r="Z16" s="22">
        <f>IF(DAY(DATE(PORTADA!$B$2,4,12))&lt;&gt;12,"",SUMIFS(MOVIMIENTOS!$F:$F,MOVIMIENTOS!$A:$A,DATE(PORTADA!$B$2,4,12),MOVIMIENTOS!$C:$C,Z$4))</f>
        <v/>
      </c>
      <c r="AA16" s="22">
        <f>IF(DAY(DATE(PORTADA!$B$2,4,12))&lt;&gt;12,"",SUM(T16:Z16))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SUMIFS(MOVIMIENTOS!$F:$F,MOVIMIENTOS!$A:$A,"&gt;="&amp;DATE(PORTADA!$B$2,4,1),MOVIMIENTOS!$A:$A,"&lt;="&amp;EOMONTH(DATE(PORTADA!$B$2,4,1),0),MOVIMIENTOS!$D:$D,$B17)</f>
        <v/>
      </c>
      <c r="E17" s="8">
        <f>C17-D17</f>
        <v/>
      </c>
      <c r="F17" s="9">
        <f>IFERROR(D17/C17,"")</f>
        <v/>
      </c>
      <c r="S17" s="21">
        <f>IF(DAY(DATE(PORTADA!$B$2,4,13))&lt;&gt;13,"",13)</f>
        <v/>
      </c>
      <c r="T17" s="22">
        <f>IF(DAY(DATE(PORTADA!$B$2,4,13))&lt;&gt;13,"",SUMIFS(MOVIMIENTOS!$F:$F,MOVIMIENTOS!$A:$A,DATE(PORTADA!$B$2,4,13),MOVIMIENTOS!$C:$C,T$4))</f>
        <v/>
      </c>
      <c r="U17" s="22">
        <f>IF(DAY(DATE(PORTADA!$B$2,4,13))&lt;&gt;13,"",SUMIFS(MOVIMIENTOS!$F:$F,MOVIMIENTOS!$A:$A,DATE(PORTADA!$B$2,4,13),MOVIMIENTOS!$C:$C,U$4))</f>
        <v/>
      </c>
      <c r="V17" s="22">
        <f>IF(DAY(DATE(PORTADA!$B$2,4,13))&lt;&gt;13,"",SUMIFS(MOVIMIENTOS!$F:$F,MOVIMIENTOS!$A:$A,DATE(PORTADA!$B$2,4,13),MOVIMIENTOS!$C:$C,V$4))</f>
        <v/>
      </c>
      <c r="W17" s="22">
        <f>IF(DAY(DATE(PORTADA!$B$2,4,13))&lt;&gt;13,"",SUMIFS(MOVIMIENTOS!$F:$F,MOVIMIENTOS!$A:$A,DATE(PORTADA!$B$2,4,13),MOVIMIENTOS!$C:$C,W$4))</f>
        <v/>
      </c>
      <c r="X17" s="22">
        <f>IF(DAY(DATE(PORTADA!$B$2,4,13))&lt;&gt;13,"",SUMIFS(MOVIMIENTOS!$F:$F,MOVIMIENTOS!$A:$A,DATE(PORTADA!$B$2,4,13),MOVIMIENTOS!$C:$C,X$4))</f>
        <v/>
      </c>
      <c r="Y17" s="22">
        <f>IF(DAY(DATE(PORTADA!$B$2,4,13))&lt;&gt;13,"",SUMIFS(MOVIMIENTOS!$F:$F,MOVIMIENTOS!$A:$A,DATE(PORTADA!$B$2,4,13),MOVIMIENTOS!$C:$C,Y$4))</f>
        <v/>
      </c>
      <c r="Z17" s="22">
        <f>IF(DAY(DATE(PORTADA!$B$2,4,13))&lt;&gt;13,"",SUMIFS(MOVIMIENTOS!$F:$F,MOVIMIENTOS!$A:$A,DATE(PORTADA!$B$2,4,13),MOVIMIENTOS!$C:$C,Z$4))</f>
        <v/>
      </c>
      <c r="AA17" s="22">
        <f>IF(DAY(DATE(PORTADA!$B$2,4,13))&lt;&gt;13,"",SUM(T17:Z17))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SUMIFS(MOVIMIENTOS!$F:$F,MOVIMIENTOS!$A:$A,"&gt;="&amp;DATE(PORTADA!$B$2,4,1),MOVIMIENTOS!$A:$A,"&lt;="&amp;EOMONTH(DATE(PORTADA!$B$2,4,1),0),MOVIMIENTOS!$D:$D,$B18)</f>
        <v/>
      </c>
      <c r="E18" s="8">
        <f>C18-D18</f>
        <v/>
      </c>
      <c r="F18" s="9">
        <f>IFERROR(D18/C18,"")</f>
        <v/>
      </c>
      <c r="S18" s="21">
        <f>IF(DAY(DATE(PORTADA!$B$2,4,14))&lt;&gt;14,"",14)</f>
        <v/>
      </c>
      <c r="T18" s="22">
        <f>IF(DAY(DATE(PORTADA!$B$2,4,14))&lt;&gt;14,"",SUMIFS(MOVIMIENTOS!$F:$F,MOVIMIENTOS!$A:$A,DATE(PORTADA!$B$2,4,14),MOVIMIENTOS!$C:$C,T$4))</f>
        <v/>
      </c>
      <c r="U18" s="22">
        <f>IF(DAY(DATE(PORTADA!$B$2,4,14))&lt;&gt;14,"",SUMIFS(MOVIMIENTOS!$F:$F,MOVIMIENTOS!$A:$A,DATE(PORTADA!$B$2,4,14),MOVIMIENTOS!$C:$C,U$4))</f>
        <v/>
      </c>
      <c r="V18" s="22">
        <f>IF(DAY(DATE(PORTADA!$B$2,4,14))&lt;&gt;14,"",SUMIFS(MOVIMIENTOS!$F:$F,MOVIMIENTOS!$A:$A,DATE(PORTADA!$B$2,4,14),MOVIMIENTOS!$C:$C,V$4))</f>
        <v/>
      </c>
      <c r="W18" s="22">
        <f>IF(DAY(DATE(PORTADA!$B$2,4,14))&lt;&gt;14,"",SUMIFS(MOVIMIENTOS!$F:$F,MOVIMIENTOS!$A:$A,DATE(PORTADA!$B$2,4,14),MOVIMIENTOS!$C:$C,W$4))</f>
        <v/>
      </c>
      <c r="X18" s="22">
        <f>IF(DAY(DATE(PORTADA!$B$2,4,14))&lt;&gt;14,"",SUMIFS(MOVIMIENTOS!$F:$F,MOVIMIENTOS!$A:$A,DATE(PORTADA!$B$2,4,14),MOVIMIENTOS!$C:$C,X$4))</f>
        <v/>
      </c>
      <c r="Y18" s="22">
        <f>IF(DAY(DATE(PORTADA!$B$2,4,14))&lt;&gt;14,"",SUMIFS(MOVIMIENTOS!$F:$F,MOVIMIENTOS!$A:$A,DATE(PORTADA!$B$2,4,14),MOVIMIENTOS!$C:$C,Y$4))</f>
        <v/>
      </c>
      <c r="Z18" s="22">
        <f>IF(DAY(DATE(PORTADA!$B$2,4,14))&lt;&gt;14,"",SUMIFS(MOVIMIENTOS!$F:$F,MOVIMIENTOS!$A:$A,DATE(PORTADA!$B$2,4,14),MOVIMIENTOS!$C:$C,Z$4))</f>
        <v/>
      </c>
      <c r="AA18" s="22">
        <f>IF(DAY(DATE(PORTADA!$B$2,4,14))&lt;&gt;14,"",SUM(T18:Z18))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SUMIFS(MOVIMIENTOS!$F:$F,MOVIMIENTOS!$A:$A,"&gt;="&amp;DATE(PORTADA!$B$2,4,1),MOVIMIENTOS!$A:$A,"&lt;="&amp;EOMONTH(DATE(PORTADA!$B$2,4,1),0),MOVIMIENTOS!$D:$D,$B19)</f>
        <v/>
      </c>
      <c r="E19" s="8">
        <f>C19-D19</f>
        <v/>
      </c>
      <c r="F19" s="9">
        <f>IFERROR(D19/C19,"")</f>
        <v/>
      </c>
      <c r="S19" s="21">
        <f>IF(DAY(DATE(PORTADA!$B$2,4,15))&lt;&gt;15,"",15)</f>
        <v/>
      </c>
      <c r="T19" s="22">
        <f>IF(DAY(DATE(PORTADA!$B$2,4,15))&lt;&gt;15,"",SUMIFS(MOVIMIENTOS!$F:$F,MOVIMIENTOS!$A:$A,DATE(PORTADA!$B$2,4,15),MOVIMIENTOS!$C:$C,T$4))</f>
        <v/>
      </c>
      <c r="U19" s="22">
        <f>IF(DAY(DATE(PORTADA!$B$2,4,15))&lt;&gt;15,"",SUMIFS(MOVIMIENTOS!$F:$F,MOVIMIENTOS!$A:$A,DATE(PORTADA!$B$2,4,15),MOVIMIENTOS!$C:$C,U$4))</f>
        <v/>
      </c>
      <c r="V19" s="22">
        <f>IF(DAY(DATE(PORTADA!$B$2,4,15))&lt;&gt;15,"",SUMIFS(MOVIMIENTOS!$F:$F,MOVIMIENTOS!$A:$A,DATE(PORTADA!$B$2,4,15),MOVIMIENTOS!$C:$C,V$4))</f>
        <v/>
      </c>
      <c r="W19" s="22">
        <f>IF(DAY(DATE(PORTADA!$B$2,4,15))&lt;&gt;15,"",SUMIFS(MOVIMIENTOS!$F:$F,MOVIMIENTOS!$A:$A,DATE(PORTADA!$B$2,4,15),MOVIMIENTOS!$C:$C,W$4))</f>
        <v/>
      </c>
      <c r="X19" s="22">
        <f>IF(DAY(DATE(PORTADA!$B$2,4,15))&lt;&gt;15,"",SUMIFS(MOVIMIENTOS!$F:$F,MOVIMIENTOS!$A:$A,DATE(PORTADA!$B$2,4,15),MOVIMIENTOS!$C:$C,X$4))</f>
        <v/>
      </c>
      <c r="Y19" s="22">
        <f>IF(DAY(DATE(PORTADA!$B$2,4,15))&lt;&gt;15,"",SUMIFS(MOVIMIENTOS!$F:$F,MOVIMIENTOS!$A:$A,DATE(PORTADA!$B$2,4,15),MOVIMIENTOS!$C:$C,Y$4))</f>
        <v/>
      </c>
      <c r="Z19" s="22">
        <f>IF(DAY(DATE(PORTADA!$B$2,4,15))&lt;&gt;15,"",SUMIFS(MOVIMIENTOS!$F:$F,MOVIMIENTOS!$A:$A,DATE(PORTADA!$B$2,4,15),MOVIMIENTOS!$C:$C,Z$4))</f>
        <v/>
      </c>
      <c r="AA19" s="22">
        <f>IF(DAY(DATE(PORTADA!$B$2,4,15))&lt;&gt;15,"",SUM(T19:Z19))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SUMIFS(MOVIMIENTOS!$F:$F,MOVIMIENTOS!$A:$A,"&gt;="&amp;DATE(PORTADA!$B$2,4,1),MOVIMIENTOS!$A:$A,"&lt;="&amp;EOMONTH(DATE(PORTADA!$B$2,4,1),0),MOVIMIENTOS!$D:$D,$B20)</f>
        <v/>
      </c>
      <c r="E20" s="8">
        <f>C20-D20</f>
        <v/>
      </c>
      <c r="F20" s="9">
        <f>IFERROR(D20/C20,"")</f>
        <v/>
      </c>
      <c r="S20" s="21">
        <f>IF(DAY(DATE(PORTADA!$B$2,4,16))&lt;&gt;16,"",16)</f>
        <v/>
      </c>
      <c r="T20" s="22">
        <f>IF(DAY(DATE(PORTADA!$B$2,4,16))&lt;&gt;16,"",SUMIFS(MOVIMIENTOS!$F:$F,MOVIMIENTOS!$A:$A,DATE(PORTADA!$B$2,4,16),MOVIMIENTOS!$C:$C,T$4))</f>
        <v/>
      </c>
      <c r="U20" s="22">
        <f>IF(DAY(DATE(PORTADA!$B$2,4,16))&lt;&gt;16,"",SUMIFS(MOVIMIENTOS!$F:$F,MOVIMIENTOS!$A:$A,DATE(PORTADA!$B$2,4,16),MOVIMIENTOS!$C:$C,U$4))</f>
        <v/>
      </c>
      <c r="V20" s="22">
        <f>IF(DAY(DATE(PORTADA!$B$2,4,16))&lt;&gt;16,"",SUMIFS(MOVIMIENTOS!$F:$F,MOVIMIENTOS!$A:$A,DATE(PORTADA!$B$2,4,16),MOVIMIENTOS!$C:$C,V$4))</f>
        <v/>
      </c>
      <c r="W20" s="22">
        <f>IF(DAY(DATE(PORTADA!$B$2,4,16))&lt;&gt;16,"",SUMIFS(MOVIMIENTOS!$F:$F,MOVIMIENTOS!$A:$A,DATE(PORTADA!$B$2,4,16),MOVIMIENTOS!$C:$C,W$4))</f>
        <v/>
      </c>
      <c r="X20" s="22">
        <f>IF(DAY(DATE(PORTADA!$B$2,4,16))&lt;&gt;16,"",SUMIFS(MOVIMIENTOS!$F:$F,MOVIMIENTOS!$A:$A,DATE(PORTADA!$B$2,4,16),MOVIMIENTOS!$C:$C,X$4))</f>
        <v/>
      </c>
      <c r="Y20" s="22">
        <f>IF(DAY(DATE(PORTADA!$B$2,4,16))&lt;&gt;16,"",SUMIFS(MOVIMIENTOS!$F:$F,MOVIMIENTOS!$A:$A,DATE(PORTADA!$B$2,4,16),MOVIMIENTOS!$C:$C,Y$4))</f>
        <v/>
      </c>
      <c r="Z20" s="22">
        <f>IF(DAY(DATE(PORTADA!$B$2,4,16))&lt;&gt;16,"",SUMIFS(MOVIMIENTOS!$F:$F,MOVIMIENTOS!$A:$A,DATE(PORTADA!$B$2,4,16),MOVIMIENTOS!$C:$C,Z$4))</f>
        <v/>
      </c>
      <c r="AA20" s="22">
        <f>IF(DAY(DATE(PORTADA!$B$2,4,16))&lt;&gt;16,"",SUM(T20:Z20))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SUMIFS(MOVIMIENTOS!$F:$F,MOVIMIENTOS!$A:$A,"&gt;="&amp;DATE(PORTADA!$B$2,4,1),MOVIMIENTOS!$A:$A,"&lt;="&amp;EOMONTH(DATE(PORTADA!$B$2,4,1),0),MOVIMIENTOS!$D:$D,$B21)</f>
        <v/>
      </c>
      <c r="E21" s="8">
        <f>C21-D21</f>
        <v/>
      </c>
      <c r="F21" s="9">
        <f>IFERROR(D21/C21,"")</f>
        <v/>
      </c>
      <c r="S21" s="21">
        <f>IF(DAY(DATE(PORTADA!$B$2,4,17))&lt;&gt;17,"",17)</f>
        <v/>
      </c>
      <c r="T21" s="22">
        <f>IF(DAY(DATE(PORTADA!$B$2,4,17))&lt;&gt;17,"",SUMIFS(MOVIMIENTOS!$F:$F,MOVIMIENTOS!$A:$A,DATE(PORTADA!$B$2,4,17),MOVIMIENTOS!$C:$C,T$4))</f>
        <v/>
      </c>
      <c r="U21" s="22">
        <f>IF(DAY(DATE(PORTADA!$B$2,4,17))&lt;&gt;17,"",SUMIFS(MOVIMIENTOS!$F:$F,MOVIMIENTOS!$A:$A,DATE(PORTADA!$B$2,4,17),MOVIMIENTOS!$C:$C,U$4))</f>
        <v/>
      </c>
      <c r="V21" s="22">
        <f>IF(DAY(DATE(PORTADA!$B$2,4,17))&lt;&gt;17,"",SUMIFS(MOVIMIENTOS!$F:$F,MOVIMIENTOS!$A:$A,DATE(PORTADA!$B$2,4,17),MOVIMIENTOS!$C:$C,V$4))</f>
        <v/>
      </c>
      <c r="W21" s="22">
        <f>IF(DAY(DATE(PORTADA!$B$2,4,17))&lt;&gt;17,"",SUMIFS(MOVIMIENTOS!$F:$F,MOVIMIENTOS!$A:$A,DATE(PORTADA!$B$2,4,17),MOVIMIENTOS!$C:$C,W$4))</f>
        <v/>
      </c>
      <c r="X21" s="22">
        <f>IF(DAY(DATE(PORTADA!$B$2,4,17))&lt;&gt;17,"",SUMIFS(MOVIMIENTOS!$F:$F,MOVIMIENTOS!$A:$A,DATE(PORTADA!$B$2,4,17),MOVIMIENTOS!$C:$C,X$4))</f>
        <v/>
      </c>
      <c r="Y21" s="22">
        <f>IF(DAY(DATE(PORTADA!$B$2,4,17))&lt;&gt;17,"",SUMIFS(MOVIMIENTOS!$F:$F,MOVIMIENTOS!$A:$A,DATE(PORTADA!$B$2,4,17),MOVIMIENTOS!$C:$C,Y$4))</f>
        <v/>
      </c>
      <c r="Z21" s="22">
        <f>IF(DAY(DATE(PORTADA!$B$2,4,17))&lt;&gt;17,"",SUMIFS(MOVIMIENTOS!$F:$F,MOVIMIENTOS!$A:$A,DATE(PORTADA!$B$2,4,17),MOVIMIENTOS!$C:$C,Z$4))</f>
        <v/>
      </c>
      <c r="AA21" s="22">
        <f>IF(DAY(DATE(PORTADA!$B$2,4,17))&lt;&gt;17,"",SUM(T21:Z21))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SUMIFS(MOVIMIENTOS!$F:$F,MOVIMIENTOS!$A:$A,"&gt;="&amp;DATE(PORTADA!$B$2,4,1),MOVIMIENTOS!$A:$A,"&lt;="&amp;EOMONTH(DATE(PORTADA!$B$2,4,1),0),MOVIMIENTOS!$D:$D,$B22)</f>
        <v/>
      </c>
      <c r="E22" s="8">
        <f>C22-D22</f>
        <v/>
      </c>
      <c r="F22" s="9">
        <f>IFERROR(D22/C22,"")</f>
        <v/>
      </c>
      <c r="S22" s="21">
        <f>IF(DAY(DATE(PORTADA!$B$2,4,18))&lt;&gt;18,"",18)</f>
        <v/>
      </c>
      <c r="T22" s="22">
        <f>IF(DAY(DATE(PORTADA!$B$2,4,18))&lt;&gt;18,"",SUMIFS(MOVIMIENTOS!$F:$F,MOVIMIENTOS!$A:$A,DATE(PORTADA!$B$2,4,18),MOVIMIENTOS!$C:$C,T$4))</f>
        <v/>
      </c>
      <c r="U22" s="22">
        <f>IF(DAY(DATE(PORTADA!$B$2,4,18))&lt;&gt;18,"",SUMIFS(MOVIMIENTOS!$F:$F,MOVIMIENTOS!$A:$A,DATE(PORTADA!$B$2,4,18),MOVIMIENTOS!$C:$C,U$4))</f>
        <v/>
      </c>
      <c r="V22" s="22">
        <f>IF(DAY(DATE(PORTADA!$B$2,4,18))&lt;&gt;18,"",SUMIFS(MOVIMIENTOS!$F:$F,MOVIMIENTOS!$A:$A,DATE(PORTADA!$B$2,4,18),MOVIMIENTOS!$C:$C,V$4))</f>
        <v/>
      </c>
      <c r="W22" s="22">
        <f>IF(DAY(DATE(PORTADA!$B$2,4,18))&lt;&gt;18,"",SUMIFS(MOVIMIENTOS!$F:$F,MOVIMIENTOS!$A:$A,DATE(PORTADA!$B$2,4,18),MOVIMIENTOS!$C:$C,W$4))</f>
        <v/>
      </c>
      <c r="X22" s="22">
        <f>IF(DAY(DATE(PORTADA!$B$2,4,18))&lt;&gt;18,"",SUMIFS(MOVIMIENTOS!$F:$F,MOVIMIENTOS!$A:$A,DATE(PORTADA!$B$2,4,18),MOVIMIENTOS!$C:$C,X$4))</f>
        <v/>
      </c>
      <c r="Y22" s="22">
        <f>IF(DAY(DATE(PORTADA!$B$2,4,18))&lt;&gt;18,"",SUMIFS(MOVIMIENTOS!$F:$F,MOVIMIENTOS!$A:$A,DATE(PORTADA!$B$2,4,18),MOVIMIENTOS!$C:$C,Y$4))</f>
        <v/>
      </c>
      <c r="Z22" s="22">
        <f>IF(DAY(DATE(PORTADA!$B$2,4,18))&lt;&gt;18,"",SUMIFS(MOVIMIENTOS!$F:$F,MOVIMIENTOS!$A:$A,DATE(PORTADA!$B$2,4,18),MOVIMIENTOS!$C:$C,Z$4))</f>
        <v/>
      </c>
      <c r="AA22" s="22">
        <f>IF(DAY(DATE(PORTADA!$B$2,4,18))&lt;&gt;18,"",SUM(T22:Z22))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SUMIFS(MOVIMIENTOS!$F:$F,MOVIMIENTOS!$A:$A,"&gt;="&amp;DATE(PORTADA!$B$2,4,1),MOVIMIENTOS!$A:$A,"&lt;="&amp;EOMONTH(DATE(PORTADA!$B$2,4,1),0),MOVIMIENTOS!$D:$D,$B23)</f>
        <v/>
      </c>
      <c r="E23" s="8">
        <f>C23-D23</f>
        <v/>
      </c>
      <c r="F23" s="9">
        <f>IFERROR(D23/C23,"")</f>
        <v/>
      </c>
      <c r="S23" s="21">
        <f>IF(DAY(DATE(PORTADA!$B$2,4,19))&lt;&gt;19,"",19)</f>
        <v/>
      </c>
      <c r="T23" s="22">
        <f>IF(DAY(DATE(PORTADA!$B$2,4,19))&lt;&gt;19,"",SUMIFS(MOVIMIENTOS!$F:$F,MOVIMIENTOS!$A:$A,DATE(PORTADA!$B$2,4,19),MOVIMIENTOS!$C:$C,T$4))</f>
        <v/>
      </c>
      <c r="U23" s="22">
        <f>IF(DAY(DATE(PORTADA!$B$2,4,19))&lt;&gt;19,"",SUMIFS(MOVIMIENTOS!$F:$F,MOVIMIENTOS!$A:$A,DATE(PORTADA!$B$2,4,19),MOVIMIENTOS!$C:$C,U$4))</f>
        <v/>
      </c>
      <c r="V23" s="22">
        <f>IF(DAY(DATE(PORTADA!$B$2,4,19))&lt;&gt;19,"",SUMIFS(MOVIMIENTOS!$F:$F,MOVIMIENTOS!$A:$A,DATE(PORTADA!$B$2,4,19),MOVIMIENTOS!$C:$C,V$4))</f>
        <v/>
      </c>
      <c r="W23" s="22">
        <f>IF(DAY(DATE(PORTADA!$B$2,4,19))&lt;&gt;19,"",SUMIFS(MOVIMIENTOS!$F:$F,MOVIMIENTOS!$A:$A,DATE(PORTADA!$B$2,4,19),MOVIMIENTOS!$C:$C,W$4))</f>
        <v/>
      </c>
      <c r="X23" s="22">
        <f>IF(DAY(DATE(PORTADA!$B$2,4,19))&lt;&gt;19,"",SUMIFS(MOVIMIENTOS!$F:$F,MOVIMIENTOS!$A:$A,DATE(PORTADA!$B$2,4,19),MOVIMIENTOS!$C:$C,X$4))</f>
        <v/>
      </c>
      <c r="Y23" s="22">
        <f>IF(DAY(DATE(PORTADA!$B$2,4,19))&lt;&gt;19,"",SUMIFS(MOVIMIENTOS!$F:$F,MOVIMIENTOS!$A:$A,DATE(PORTADA!$B$2,4,19),MOVIMIENTOS!$C:$C,Y$4))</f>
        <v/>
      </c>
      <c r="Z23" s="22">
        <f>IF(DAY(DATE(PORTADA!$B$2,4,19))&lt;&gt;19,"",SUMIFS(MOVIMIENTOS!$F:$F,MOVIMIENTOS!$A:$A,DATE(PORTADA!$B$2,4,19),MOVIMIENTOS!$C:$C,Z$4))</f>
        <v/>
      </c>
      <c r="AA23" s="22">
        <f>IF(DAY(DATE(PORTADA!$B$2,4,19))&lt;&gt;19,"",SUM(T23:Z23))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SUMIFS(MOVIMIENTOS!$F:$F,MOVIMIENTOS!$A:$A,"&gt;="&amp;DATE(PORTADA!$B$2,4,1),MOVIMIENTOS!$A:$A,"&lt;="&amp;EOMONTH(DATE(PORTADA!$B$2,4,1),0),MOVIMIENTOS!$D:$D,$B24)</f>
        <v/>
      </c>
      <c r="E24" s="8">
        <f>C24-D24</f>
        <v/>
      </c>
      <c r="F24" s="9">
        <f>IFERROR(D24/C24,"")</f>
        <v/>
      </c>
      <c r="S24" s="21">
        <f>IF(DAY(DATE(PORTADA!$B$2,4,20))&lt;&gt;20,"",20)</f>
        <v/>
      </c>
      <c r="T24" s="22">
        <f>IF(DAY(DATE(PORTADA!$B$2,4,20))&lt;&gt;20,"",SUMIFS(MOVIMIENTOS!$F:$F,MOVIMIENTOS!$A:$A,DATE(PORTADA!$B$2,4,20),MOVIMIENTOS!$C:$C,T$4))</f>
        <v/>
      </c>
      <c r="U24" s="22">
        <f>IF(DAY(DATE(PORTADA!$B$2,4,20))&lt;&gt;20,"",SUMIFS(MOVIMIENTOS!$F:$F,MOVIMIENTOS!$A:$A,DATE(PORTADA!$B$2,4,20),MOVIMIENTOS!$C:$C,U$4))</f>
        <v/>
      </c>
      <c r="V24" s="22">
        <f>IF(DAY(DATE(PORTADA!$B$2,4,20))&lt;&gt;20,"",SUMIFS(MOVIMIENTOS!$F:$F,MOVIMIENTOS!$A:$A,DATE(PORTADA!$B$2,4,20),MOVIMIENTOS!$C:$C,V$4))</f>
        <v/>
      </c>
      <c r="W24" s="22">
        <f>IF(DAY(DATE(PORTADA!$B$2,4,20))&lt;&gt;20,"",SUMIFS(MOVIMIENTOS!$F:$F,MOVIMIENTOS!$A:$A,DATE(PORTADA!$B$2,4,20),MOVIMIENTOS!$C:$C,W$4))</f>
        <v/>
      </c>
      <c r="X24" s="22">
        <f>IF(DAY(DATE(PORTADA!$B$2,4,20))&lt;&gt;20,"",SUMIFS(MOVIMIENTOS!$F:$F,MOVIMIENTOS!$A:$A,DATE(PORTADA!$B$2,4,20),MOVIMIENTOS!$C:$C,X$4))</f>
        <v/>
      </c>
      <c r="Y24" s="22">
        <f>IF(DAY(DATE(PORTADA!$B$2,4,20))&lt;&gt;20,"",SUMIFS(MOVIMIENTOS!$F:$F,MOVIMIENTOS!$A:$A,DATE(PORTADA!$B$2,4,20),MOVIMIENTOS!$C:$C,Y$4))</f>
        <v/>
      </c>
      <c r="Z24" s="22">
        <f>IF(DAY(DATE(PORTADA!$B$2,4,20))&lt;&gt;20,"",SUMIFS(MOVIMIENTOS!$F:$F,MOVIMIENTOS!$A:$A,DATE(PORTADA!$B$2,4,20),MOVIMIENTOS!$C:$C,Z$4))</f>
        <v/>
      </c>
      <c r="AA24" s="22">
        <f>IF(DAY(DATE(PORTADA!$B$2,4,20))&lt;&gt;20,"",SUM(T24:Z24))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SUMIFS(MOVIMIENTOS!$F:$F,MOVIMIENTOS!$A:$A,"&gt;="&amp;DATE(PORTADA!$B$2,4,1),MOVIMIENTOS!$A:$A,"&lt;="&amp;EOMONTH(DATE(PORTADA!$B$2,4,1),0),MOVIMIENTOS!$D:$D,$B25)</f>
        <v/>
      </c>
      <c r="E25" s="8">
        <f>C25-D25</f>
        <v/>
      </c>
      <c r="F25" s="9">
        <f>IFERROR(D25/C25,"")</f>
        <v/>
      </c>
      <c r="S25" s="21">
        <f>IF(DAY(DATE(PORTADA!$B$2,4,21))&lt;&gt;21,"",21)</f>
        <v/>
      </c>
      <c r="T25" s="22">
        <f>IF(DAY(DATE(PORTADA!$B$2,4,21))&lt;&gt;21,"",SUMIFS(MOVIMIENTOS!$F:$F,MOVIMIENTOS!$A:$A,DATE(PORTADA!$B$2,4,21),MOVIMIENTOS!$C:$C,T$4))</f>
        <v/>
      </c>
      <c r="U25" s="22">
        <f>IF(DAY(DATE(PORTADA!$B$2,4,21))&lt;&gt;21,"",SUMIFS(MOVIMIENTOS!$F:$F,MOVIMIENTOS!$A:$A,DATE(PORTADA!$B$2,4,21),MOVIMIENTOS!$C:$C,U$4))</f>
        <v/>
      </c>
      <c r="V25" s="22">
        <f>IF(DAY(DATE(PORTADA!$B$2,4,21))&lt;&gt;21,"",SUMIFS(MOVIMIENTOS!$F:$F,MOVIMIENTOS!$A:$A,DATE(PORTADA!$B$2,4,21),MOVIMIENTOS!$C:$C,V$4))</f>
        <v/>
      </c>
      <c r="W25" s="22">
        <f>IF(DAY(DATE(PORTADA!$B$2,4,21))&lt;&gt;21,"",SUMIFS(MOVIMIENTOS!$F:$F,MOVIMIENTOS!$A:$A,DATE(PORTADA!$B$2,4,21),MOVIMIENTOS!$C:$C,W$4))</f>
        <v/>
      </c>
      <c r="X25" s="22">
        <f>IF(DAY(DATE(PORTADA!$B$2,4,21))&lt;&gt;21,"",SUMIFS(MOVIMIENTOS!$F:$F,MOVIMIENTOS!$A:$A,DATE(PORTADA!$B$2,4,21),MOVIMIENTOS!$C:$C,X$4))</f>
        <v/>
      </c>
      <c r="Y25" s="22">
        <f>IF(DAY(DATE(PORTADA!$B$2,4,21))&lt;&gt;21,"",SUMIFS(MOVIMIENTOS!$F:$F,MOVIMIENTOS!$A:$A,DATE(PORTADA!$B$2,4,21),MOVIMIENTOS!$C:$C,Y$4))</f>
        <v/>
      </c>
      <c r="Z25" s="22">
        <f>IF(DAY(DATE(PORTADA!$B$2,4,21))&lt;&gt;21,"",SUMIFS(MOVIMIENTOS!$F:$F,MOVIMIENTOS!$A:$A,DATE(PORTADA!$B$2,4,21),MOVIMIENTOS!$C:$C,Z$4))</f>
        <v/>
      </c>
      <c r="AA25" s="22">
        <f>IF(DAY(DATE(PORTADA!$B$2,4,21))&lt;&gt;21,"",SUM(T25:Z25))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SUMIFS(MOVIMIENTOS!$F:$F,MOVIMIENTOS!$A:$A,"&gt;="&amp;DATE(PORTADA!$B$2,4,1),MOVIMIENTOS!$A:$A,"&lt;="&amp;EOMONTH(DATE(PORTADA!$B$2,4,1),0),MOVIMIENTOS!$D:$D,$B26)</f>
        <v/>
      </c>
      <c r="E26" s="8">
        <f>C26-D26</f>
        <v/>
      </c>
      <c r="F26" s="9">
        <f>IFERROR(D26/C26,"")</f>
        <v/>
      </c>
      <c r="S26" s="21">
        <f>IF(DAY(DATE(PORTADA!$B$2,4,22))&lt;&gt;22,"",22)</f>
        <v/>
      </c>
      <c r="T26" s="22">
        <f>IF(DAY(DATE(PORTADA!$B$2,4,22))&lt;&gt;22,"",SUMIFS(MOVIMIENTOS!$F:$F,MOVIMIENTOS!$A:$A,DATE(PORTADA!$B$2,4,22),MOVIMIENTOS!$C:$C,T$4))</f>
        <v/>
      </c>
      <c r="U26" s="22">
        <f>IF(DAY(DATE(PORTADA!$B$2,4,22))&lt;&gt;22,"",SUMIFS(MOVIMIENTOS!$F:$F,MOVIMIENTOS!$A:$A,DATE(PORTADA!$B$2,4,22),MOVIMIENTOS!$C:$C,U$4))</f>
        <v/>
      </c>
      <c r="V26" s="22">
        <f>IF(DAY(DATE(PORTADA!$B$2,4,22))&lt;&gt;22,"",SUMIFS(MOVIMIENTOS!$F:$F,MOVIMIENTOS!$A:$A,DATE(PORTADA!$B$2,4,22),MOVIMIENTOS!$C:$C,V$4))</f>
        <v/>
      </c>
      <c r="W26" s="22">
        <f>IF(DAY(DATE(PORTADA!$B$2,4,22))&lt;&gt;22,"",SUMIFS(MOVIMIENTOS!$F:$F,MOVIMIENTOS!$A:$A,DATE(PORTADA!$B$2,4,22),MOVIMIENTOS!$C:$C,W$4))</f>
        <v/>
      </c>
      <c r="X26" s="22">
        <f>IF(DAY(DATE(PORTADA!$B$2,4,22))&lt;&gt;22,"",SUMIFS(MOVIMIENTOS!$F:$F,MOVIMIENTOS!$A:$A,DATE(PORTADA!$B$2,4,22),MOVIMIENTOS!$C:$C,X$4))</f>
        <v/>
      </c>
      <c r="Y26" s="22">
        <f>IF(DAY(DATE(PORTADA!$B$2,4,22))&lt;&gt;22,"",SUMIFS(MOVIMIENTOS!$F:$F,MOVIMIENTOS!$A:$A,DATE(PORTADA!$B$2,4,22),MOVIMIENTOS!$C:$C,Y$4))</f>
        <v/>
      </c>
      <c r="Z26" s="22">
        <f>IF(DAY(DATE(PORTADA!$B$2,4,22))&lt;&gt;22,"",SUMIFS(MOVIMIENTOS!$F:$F,MOVIMIENTOS!$A:$A,DATE(PORTADA!$B$2,4,22),MOVIMIENTOS!$C:$C,Z$4))</f>
        <v/>
      </c>
      <c r="AA26" s="22">
        <f>IF(DAY(DATE(PORTADA!$B$2,4,22))&lt;&gt;22,"",SUM(T26:Z26))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SUMIFS(MOVIMIENTOS!$F:$F,MOVIMIENTOS!$A:$A,"&gt;="&amp;DATE(PORTADA!$B$2,4,1),MOVIMIENTOS!$A:$A,"&lt;="&amp;EOMONTH(DATE(PORTADA!$B$2,4,1),0),MOVIMIENTOS!$D:$D,$B27)</f>
        <v/>
      </c>
      <c r="E27" s="8">
        <f>C27-D27</f>
        <v/>
      </c>
      <c r="F27" s="9">
        <f>IFERROR(D27/C27,"")</f>
        <v/>
      </c>
      <c r="S27" s="21">
        <f>IF(DAY(DATE(PORTADA!$B$2,4,23))&lt;&gt;23,"",23)</f>
        <v/>
      </c>
      <c r="T27" s="22">
        <f>IF(DAY(DATE(PORTADA!$B$2,4,23))&lt;&gt;23,"",SUMIFS(MOVIMIENTOS!$F:$F,MOVIMIENTOS!$A:$A,DATE(PORTADA!$B$2,4,23),MOVIMIENTOS!$C:$C,T$4))</f>
        <v/>
      </c>
      <c r="U27" s="22">
        <f>IF(DAY(DATE(PORTADA!$B$2,4,23))&lt;&gt;23,"",SUMIFS(MOVIMIENTOS!$F:$F,MOVIMIENTOS!$A:$A,DATE(PORTADA!$B$2,4,23),MOVIMIENTOS!$C:$C,U$4))</f>
        <v/>
      </c>
      <c r="V27" s="22">
        <f>IF(DAY(DATE(PORTADA!$B$2,4,23))&lt;&gt;23,"",SUMIFS(MOVIMIENTOS!$F:$F,MOVIMIENTOS!$A:$A,DATE(PORTADA!$B$2,4,23),MOVIMIENTOS!$C:$C,V$4))</f>
        <v/>
      </c>
      <c r="W27" s="22">
        <f>IF(DAY(DATE(PORTADA!$B$2,4,23))&lt;&gt;23,"",SUMIFS(MOVIMIENTOS!$F:$F,MOVIMIENTOS!$A:$A,DATE(PORTADA!$B$2,4,23),MOVIMIENTOS!$C:$C,W$4))</f>
        <v/>
      </c>
      <c r="X27" s="22">
        <f>IF(DAY(DATE(PORTADA!$B$2,4,23))&lt;&gt;23,"",SUMIFS(MOVIMIENTOS!$F:$F,MOVIMIENTOS!$A:$A,DATE(PORTADA!$B$2,4,23),MOVIMIENTOS!$C:$C,X$4))</f>
        <v/>
      </c>
      <c r="Y27" s="22">
        <f>IF(DAY(DATE(PORTADA!$B$2,4,23))&lt;&gt;23,"",SUMIFS(MOVIMIENTOS!$F:$F,MOVIMIENTOS!$A:$A,DATE(PORTADA!$B$2,4,23),MOVIMIENTOS!$C:$C,Y$4))</f>
        <v/>
      </c>
      <c r="Z27" s="22">
        <f>IF(DAY(DATE(PORTADA!$B$2,4,23))&lt;&gt;23,"",SUMIFS(MOVIMIENTOS!$F:$F,MOVIMIENTOS!$A:$A,DATE(PORTADA!$B$2,4,23),MOVIMIENTOS!$C:$C,Z$4))</f>
        <v/>
      </c>
      <c r="AA27" s="22">
        <f>IF(DAY(DATE(PORTADA!$B$2,4,23))&lt;&gt;23,"",SUM(T27:Z27))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SUMIFS(MOVIMIENTOS!$F:$F,MOVIMIENTOS!$A:$A,"&gt;="&amp;DATE(PORTADA!$B$2,4,1),MOVIMIENTOS!$A:$A,"&lt;="&amp;EOMONTH(DATE(PORTADA!$B$2,4,1),0),MOVIMIENTOS!$D:$D,$B28)</f>
        <v/>
      </c>
      <c r="E28" s="8">
        <f>C28-D28</f>
        <v/>
      </c>
      <c r="F28" s="9">
        <f>IFERROR(D28/C28,"")</f>
        <v/>
      </c>
      <c r="S28" s="21">
        <f>IF(DAY(DATE(PORTADA!$B$2,4,24))&lt;&gt;24,"",24)</f>
        <v/>
      </c>
      <c r="T28" s="22">
        <f>IF(DAY(DATE(PORTADA!$B$2,4,24))&lt;&gt;24,"",SUMIFS(MOVIMIENTOS!$F:$F,MOVIMIENTOS!$A:$A,DATE(PORTADA!$B$2,4,24),MOVIMIENTOS!$C:$C,T$4))</f>
        <v/>
      </c>
      <c r="U28" s="22">
        <f>IF(DAY(DATE(PORTADA!$B$2,4,24))&lt;&gt;24,"",SUMIFS(MOVIMIENTOS!$F:$F,MOVIMIENTOS!$A:$A,DATE(PORTADA!$B$2,4,24),MOVIMIENTOS!$C:$C,U$4))</f>
        <v/>
      </c>
      <c r="V28" s="22">
        <f>IF(DAY(DATE(PORTADA!$B$2,4,24))&lt;&gt;24,"",SUMIFS(MOVIMIENTOS!$F:$F,MOVIMIENTOS!$A:$A,DATE(PORTADA!$B$2,4,24),MOVIMIENTOS!$C:$C,V$4))</f>
        <v/>
      </c>
      <c r="W28" s="22">
        <f>IF(DAY(DATE(PORTADA!$B$2,4,24))&lt;&gt;24,"",SUMIFS(MOVIMIENTOS!$F:$F,MOVIMIENTOS!$A:$A,DATE(PORTADA!$B$2,4,24),MOVIMIENTOS!$C:$C,W$4))</f>
        <v/>
      </c>
      <c r="X28" s="22">
        <f>IF(DAY(DATE(PORTADA!$B$2,4,24))&lt;&gt;24,"",SUMIFS(MOVIMIENTOS!$F:$F,MOVIMIENTOS!$A:$A,DATE(PORTADA!$B$2,4,24),MOVIMIENTOS!$C:$C,X$4))</f>
        <v/>
      </c>
      <c r="Y28" s="22">
        <f>IF(DAY(DATE(PORTADA!$B$2,4,24))&lt;&gt;24,"",SUMIFS(MOVIMIENTOS!$F:$F,MOVIMIENTOS!$A:$A,DATE(PORTADA!$B$2,4,24),MOVIMIENTOS!$C:$C,Y$4))</f>
        <v/>
      </c>
      <c r="Z28" s="22">
        <f>IF(DAY(DATE(PORTADA!$B$2,4,24))&lt;&gt;24,"",SUMIFS(MOVIMIENTOS!$F:$F,MOVIMIENTOS!$A:$A,DATE(PORTADA!$B$2,4,24),MOVIMIENTOS!$C:$C,Z$4))</f>
        <v/>
      </c>
      <c r="AA28" s="22">
        <f>IF(DAY(DATE(PORTADA!$B$2,4,24))&lt;&gt;24,"",SUM(T28:Z28))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SUMIFS(MOVIMIENTOS!$F:$F,MOVIMIENTOS!$A:$A,"&gt;="&amp;DATE(PORTADA!$B$2,4,1),MOVIMIENTOS!$A:$A,"&lt;="&amp;EOMONTH(DATE(PORTADA!$B$2,4,1),0),MOVIMIENTOS!$D:$D,$B29)</f>
        <v/>
      </c>
      <c r="E29" s="8">
        <f>C29-D29</f>
        <v/>
      </c>
      <c r="F29" s="9">
        <f>IFERROR(D29/C29,"")</f>
        <v/>
      </c>
      <c r="S29" s="21">
        <f>IF(DAY(DATE(PORTADA!$B$2,4,25))&lt;&gt;25,"",25)</f>
        <v/>
      </c>
      <c r="T29" s="22">
        <f>IF(DAY(DATE(PORTADA!$B$2,4,25))&lt;&gt;25,"",SUMIFS(MOVIMIENTOS!$F:$F,MOVIMIENTOS!$A:$A,DATE(PORTADA!$B$2,4,25),MOVIMIENTOS!$C:$C,T$4))</f>
        <v/>
      </c>
      <c r="U29" s="22">
        <f>IF(DAY(DATE(PORTADA!$B$2,4,25))&lt;&gt;25,"",SUMIFS(MOVIMIENTOS!$F:$F,MOVIMIENTOS!$A:$A,DATE(PORTADA!$B$2,4,25),MOVIMIENTOS!$C:$C,U$4))</f>
        <v/>
      </c>
      <c r="V29" s="22">
        <f>IF(DAY(DATE(PORTADA!$B$2,4,25))&lt;&gt;25,"",SUMIFS(MOVIMIENTOS!$F:$F,MOVIMIENTOS!$A:$A,DATE(PORTADA!$B$2,4,25),MOVIMIENTOS!$C:$C,V$4))</f>
        <v/>
      </c>
      <c r="W29" s="22">
        <f>IF(DAY(DATE(PORTADA!$B$2,4,25))&lt;&gt;25,"",SUMIFS(MOVIMIENTOS!$F:$F,MOVIMIENTOS!$A:$A,DATE(PORTADA!$B$2,4,25),MOVIMIENTOS!$C:$C,W$4))</f>
        <v/>
      </c>
      <c r="X29" s="22">
        <f>IF(DAY(DATE(PORTADA!$B$2,4,25))&lt;&gt;25,"",SUMIFS(MOVIMIENTOS!$F:$F,MOVIMIENTOS!$A:$A,DATE(PORTADA!$B$2,4,25),MOVIMIENTOS!$C:$C,X$4))</f>
        <v/>
      </c>
      <c r="Y29" s="22">
        <f>IF(DAY(DATE(PORTADA!$B$2,4,25))&lt;&gt;25,"",SUMIFS(MOVIMIENTOS!$F:$F,MOVIMIENTOS!$A:$A,DATE(PORTADA!$B$2,4,25),MOVIMIENTOS!$C:$C,Y$4))</f>
        <v/>
      </c>
      <c r="Z29" s="22">
        <f>IF(DAY(DATE(PORTADA!$B$2,4,25))&lt;&gt;25,"",SUMIFS(MOVIMIENTOS!$F:$F,MOVIMIENTOS!$A:$A,DATE(PORTADA!$B$2,4,25),MOVIMIENTOS!$C:$C,Z$4))</f>
        <v/>
      </c>
      <c r="AA29" s="22">
        <f>IF(DAY(DATE(PORTADA!$B$2,4,25))&lt;&gt;25,"",SUM(T29:Z29))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SUMIFS(MOVIMIENTOS!$F:$F,MOVIMIENTOS!$A:$A,"&gt;="&amp;DATE(PORTADA!$B$2,4,1),MOVIMIENTOS!$A:$A,"&lt;="&amp;EOMONTH(DATE(PORTADA!$B$2,4,1),0),MOVIMIENTOS!$D:$D,$B30)</f>
        <v/>
      </c>
      <c r="E30" s="8">
        <f>C30-D30</f>
        <v/>
      </c>
      <c r="F30" s="9">
        <f>IFERROR(D30/C30,"")</f>
        <v/>
      </c>
      <c r="S30" s="21">
        <f>IF(DAY(DATE(PORTADA!$B$2,4,26))&lt;&gt;26,"",26)</f>
        <v/>
      </c>
      <c r="T30" s="22">
        <f>IF(DAY(DATE(PORTADA!$B$2,4,26))&lt;&gt;26,"",SUMIFS(MOVIMIENTOS!$F:$F,MOVIMIENTOS!$A:$A,DATE(PORTADA!$B$2,4,26),MOVIMIENTOS!$C:$C,T$4))</f>
        <v/>
      </c>
      <c r="U30" s="22">
        <f>IF(DAY(DATE(PORTADA!$B$2,4,26))&lt;&gt;26,"",SUMIFS(MOVIMIENTOS!$F:$F,MOVIMIENTOS!$A:$A,DATE(PORTADA!$B$2,4,26),MOVIMIENTOS!$C:$C,U$4))</f>
        <v/>
      </c>
      <c r="V30" s="22">
        <f>IF(DAY(DATE(PORTADA!$B$2,4,26))&lt;&gt;26,"",SUMIFS(MOVIMIENTOS!$F:$F,MOVIMIENTOS!$A:$A,DATE(PORTADA!$B$2,4,26),MOVIMIENTOS!$C:$C,V$4))</f>
        <v/>
      </c>
      <c r="W30" s="22">
        <f>IF(DAY(DATE(PORTADA!$B$2,4,26))&lt;&gt;26,"",SUMIFS(MOVIMIENTOS!$F:$F,MOVIMIENTOS!$A:$A,DATE(PORTADA!$B$2,4,26),MOVIMIENTOS!$C:$C,W$4))</f>
        <v/>
      </c>
      <c r="X30" s="22">
        <f>IF(DAY(DATE(PORTADA!$B$2,4,26))&lt;&gt;26,"",SUMIFS(MOVIMIENTOS!$F:$F,MOVIMIENTOS!$A:$A,DATE(PORTADA!$B$2,4,26),MOVIMIENTOS!$C:$C,X$4))</f>
        <v/>
      </c>
      <c r="Y30" s="22">
        <f>IF(DAY(DATE(PORTADA!$B$2,4,26))&lt;&gt;26,"",SUMIFS(MOVIMIENTOS!$F:$F,MOVIMIENTOS!$A:$A,DATE(PORTADA!$B$2,4,26),MOVIMIENTOS!$C:$C,Y$4))</f>
        <v/>
      </c>
      <c r="Z30" s="22">
        <f>IF(DAY(DATE(PORTADA!$B$2,4,26))&lt;&gt;26,"",SUMIFS(MOVIMIENTOS!$F:$F,MOVIMIENTOS!$A:$A,DATE(PORTADA!$B$2,4,26),MOVIMIENTOS!$C:$C,Z$4))</f>
        <v/>
      </c>
      <c r="AA30" s="22">
        <f>IF(DAY(DATE(PORTADA!$B$2,4,26))&lt;&gt;26,"",SUM(T30:Z30))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SUMIFS(MOVIMIENTOS!$F:$F,MOVIMIENTOS!$A:$A,"&gt;="&amp;DATE(PORTADA!$B$2,4,1),MOVIMIENTOS!$A:$A,"&lt;="&amp;EOMONTH(DATE(PORTADA!$B$2,4,1),0),MOVIMIENTOS!$D:$D,$B31)</f>
        <v/>
      </c>
      <c r="E31" s="8">
        <f>C31-D31</f>
        <v/>
      </c>
      <c r="F31" s="9">
        <f>IFERROR(D31/C31,"")</f>
        <v/>
      </c>
      <c r="S31" s="21">
        <f>IF(DAY(DATE(PORTADA!$B$2,4,27))&lt;&gt;27,"",27)</f>
        <v/>
      </c>
      <c r="T31" s="22">
        <f>IF(DAY(DATE(PORTADA!$B$2,4,27))&lt;&gt;27,"",SUMIFS(MOVIMIENTOS!$F:$F,MOVIMIENTOS!$A:$A,DATE(PORTADA!$B$2,4,27),MOVIMIENTOS!$C:$C,T$4))</f>
        <v/>
      </c>
      <c r="U31" s="22">
        <f>IF(DAY(DATE(PORTADA!$B$2,4,27))&lt;&gt;27,"",SUMIFS(MOVIMIENTOS!$F:$F,MOVIMIENTOS!$A:$A,DATE(PORTADA!$B$2,4,27),MOVIMIENTOS!$C:$C,U$4))</f>
        <v/>
      </c>
      <c r="V31" s="22">
        <f>IF(DAY(DATE(PORTADA!$B$2,4,27))&lt;&gt;27,"",SUMIFS(MOVIMIENTOS!$F:$F,MOVIMIENTOS!$A:$A,DATE(PORTADA!$B$2,4,27),MOVIMIENTOS!$C:$C,V$4))</f>
        <v/>
      </c>
      <c r="W31" s="22">
        <f>IF(DAY(DATE(PORTADA!$B$2,4,27))&lt;&gt;27,"",SUMIFS(MOVIMIENTOS!$F:$F,MOVIMIENTOS!$A:$A,DATE(PORTADA!$B$2,4,27),MOVIMIENTOS!$C:$C,W$4))</f>
        <v/>
      </c>
      <c r="X31" s="22">
        <f>IF(DAY(DATE(PORTADA!$B$2,4,27))&lt;&gt;27,"",SUMIFS(MOVIMIENTOS!$F:$F,MOVIMIENTOS!$A:$A,DATE(PORTADA!$B$2,4,27),MOVIMIENTOS!$C:$C,X$4))</f>
        <v/>
      </c>
      <c r="Y31" s="22">
        <f>IF(DAY(DATE(PORTADA!$B$2,4,27))&lt;&gt;27,"",SUMIFS(MOVIMIENTOS!$F:$F,MOVIMIENTOS!$A:$A,DATE(PORTADA!$B$2,4,27),MOVIMIENTOS!$C:$C,Y$4))</f>
        <v/>
      </c>
      <c r="Z31" s="22">
        <f>IF(DAY(DATE(PORTADA!$B$2,4,27))&lt;&gt;27,"",SUMIFS(MOVIMIENTOS!$F:$F,MOVIMIENTOS!$A:$A,DATE(PORTADA!$B$2,4,27),MOVIMIENTOS!$C:$C,Z$4))</f>
        <v/>
      </c>
      <c r="AA31" s="22">
        <f>IF(DAY(DATE(PORTADA!$B$2,4,27))&lt;&gt;27,"",SUM(T31:Z31))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SUMIFS(MOVIMIENTOS!$F:$F,MOVIMIENTOS!$A:$A,"&gt;="&amp;DATE(PORTADA!$B$2,4,1),MOVIMIENTOS!$A:$A,"&lt;="&amp;EOMONTH(DATE(PORTADA!$B$2,4,1),0),MOVIMIENTOS!$D:$D,$B32)</f>
        <v/>
      </c>
      <c r="E32" s="8">
        <f>C32-D32</f>
        <v/>
      </c>
      <c r="F32" s="9">
        <f>IFERROR(D32/C32,"")</f>
        <v/>
      </c>
      <c r="S32" s="21">
        <f>IF(DAY(DATE(PORTADA!$B$2,4,28))&lt;&gt;28,"",28)</f>
        <v/>
      </c>
      <c r="T32" s="22">
        <f>IF(DAY(DATE(PORTADA!$B$2,4,28))&lt;&gt;28,"",SUMIFS(MOVIMIENTOS!$F:$F,MOVIMIENTOS!$A:$A,DATE(PORTADA!$B$2,4,28),MOVIMIENTOS!$C:$C,T$4))</f>
        <v/>
      </c>
      <c r="U32" s="22">
        <f>IF(DAY(DATE(PORTADA!$B$2,4,28))&lt;&gt;28,"",SUMIFS(MOVIMIENTOS!$F:$F,MOVIMIENTOS!$A:$A,DATE(PORTADA!$B$2,4,28),MOVIMIENTOS!$C:$C,U$4))</f>
        <v/>
      </c>
      <c r="V32" s="22">
        <f>IF(DAY(DATE(PORTADA!$B$2,4,28))&lt;&gt;28,"",SUMIFS(MOVIMIENTOS!$F:$F,MOVIMIENTOS!$A:$A,DATE(PORTADA!$B$2,4,28),MOVIMIENTOS!$C:$C,V$4))</f>
        <v/>
      </c>
      <c r="W32" s="22">
        <f>IF(DAY(DATE(PORTADA!$B$2,4,28))&lt;&gt;28,"",SUMIFS(MOVIMIENTOS!$F:$F,MOVIMIENTOS!$A:$A,DATE(PORTADA!$B$2,4,28),MOVIMIENTOS!$C:$C,W$4))</f>
        <v/>
      </c>
      <c r="X32" s="22">
        <f>IF(DAY(DATE(PORTADA!$B$2,4,28))&lt;&gt;28,"",SUMIFS(MOVIMIENTOS!$F:$F,MOVIMIENTOS!$A:$A,DATE(PORTADA!$B$2,4,28),MOVIMIENTOS!$C:$C,X$4))</f>
        <v/>
      </c>
      <c r="Y32" s="22">
        <f>IF(DAY(DATE(PORTADA!$B$2,4,28))&lt;&gt;28,"",SUMIFS(MOVIMIENTOS!$F:$F,MOVIMIENTOS!$A:$A,DATE(PORTADA!$B$2,4,28),MOVIMIENTOS!$C:$C,Y$4))</f>
        <v/>
      </c>
      <c r="Z32" s="22">
        <f>IF(DAY(DATE(PORTADA!$B$2,4,28))&lt;&gt;28,"",SUMIFS(MOVIMIENTOS!$F:$F,MOVIMIENTOS!$A:$A,DATE(PORTADA!$B$2,4,28),MOVIMIENTOS!$C:$C,Z$4))</f>
        <v/>
      </c>
      <c r="AA32" s="22">
        <f>IF(DAY(DATE(PORTADA!$B$2,4,28))&lt;&gt;28,"",SUM(T32:Z32))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SUMIFS(MOVIMIENTOS!$F:$F,MOVIMIENTOS!$A:$A,"&gt;="&amp;DATE(PORTADA!$B$2,4,1),MOVIMIENTOS!$A:$A,"&lt;="&amp;EOMONTH(DATE(PORTADA!$B$2,4,1),0),MOVIMIENTOS!$D:$D,$B33)</f>
        <v/>
      </c>
      <c r="E33" s="8">
        <f>C33-D33</f>
        <v/>
      </c>
      <c r="F33" s="9">
        <f>IFERROR(D33/C33,"")</f>
        <v/>
      </c>
      <c r="S33" s="21">
        <f>IF(DAY(DATE(PORTADA!$B$2,4,29))&lt;&gt;29,"",29)</f>
        <v/>
      </c>
      <c r="T33" s="22">
        <f>IF(DAY(DATE(PORTADA!$B$2,4,29))&lt;&gt;29,"",SUMIFS(MOVIMIENTOS!$F:$F,MOVIMIENTOS!$A:$A,DATE(PORTADA!$B$2,4,29),MOVIMIENTOS!$C:$C,T$4))</f>
        <v/>
      </c>
      <c r="U33" s="22">
        <f>IF(DAY(DATE(PORTADA!$B$2,4,29))&lt;&gt;29,"",SUMIFS(MOVIMIENTOS!$F:$F,MOVIMIENTOS!$A:$A,DATE(PORTADA!$B$2,4,29),MOVIMIENTOS!$C:$C,U$4))</f>
        <v/>
      </c>
      <c r="V33" s="22">
        <f>IF(DAY(DATE(PORTADA!$B$2,4,29))&lt;&gt;29,"",SUMIFS(MOVIMIENTOS!$F:$F,MOVIMIENTOS!$A:$A,DATE(PORTADA!$B$2,4,29),MOVIMIENTOS!$C:$C,V$4))</f>
        <v/>
      </c>
      <c r="W33" s="22">
        <f>IF(DAY(DATE(PORTADA!$B$2,4,29))&lt;&gt;29,"",SUMIFS(MOVIMIENTOS!$F:$F,MOVIMIENTOS!$A:$A,DATE(PORTADA!$B$2,4,29),MOVIMIENTOS!$C:$C,W$4))</f>
        <v/>
      </c>
      <c r="X33" s="22">
        <f>IF(DAY(DATE(PORTADA!$B$2,4,29))&lt;&gt;29,"",SUMIFS(MOVIMIENTOS!$F:$F,MOVIMIENTOS!$A:$A,DATE(PORTADA!$B$2,4,29),MOVIMIENTOS!$C:$C,X$4))</f>
        <v/>
      </c>
      <c r="Y33" s="22">
        <f>IF(DAY(DATE(PORTADA!$B$2,4,29))&lt;&gt;29,"",SUMIFS(MOVIMIENTOS!$F:$F,MOVIMIENTOS!$A:$A,DATE(PORTADA!$B$2,4,29),MOVIMIENTOS!$C:$C,Y$4))</f>
        <v/>
      </c>
      <c r="Z33" s="22">
        <f>IF(DAY(DATE(PORTADA!$B$2,4,29))&lt;&gt;29,"",SUMIFS(MOVIMIENTOS!$F:$F,MOVIMIENTOS!$A:$A,DATE(PORTADA!$B$2,4,29),MOVIMIENTOS!$C:$C,Z$4))</f>
        <v/>
      </c>
      <c r="AA33" s="22">
        <f>IF(DAY(DATE(PORTADA!$B$2,4,29))&lt;&gt;29,"",SUM(T33:Z33))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SUMIFS(MOVIMIENTOS!$F:$F,MOVIMIENTOS!$A:$A,"&gt;="&amp;DATE(PORTADA!$B$2,4,1),MOVIMIENTOS!$A:$A,"&lt;="&amp;EOMONTH(DATE(PORTADA!$B$2,4,1),0),MOVIMIENTOS!$D:$D,$B34)</f>
        <v/>
      </c>
      <c r="E34" s="8">
        <f>C34-D34</f>
        <v/>
      </c>
      <c r="F34" s="9">
        <f>IFERROR(D34/C34,"")</f>
        <v/>
      </c>
      <c r="S34" s="21">
        <f>IF(DAY(DATE(PORTADA!$B$2,4,30))&lt;&gt;30,"",30)</f>
        <v/>
      </c>
      <c r="T34" s="22">
        <f>IF(DAY(DATE(PORTADA!$B$2,4,30))&lt;&gt;30,"",SUMIFS(MOVIMIENTOS!$F:$F,MOVIMIENTOS!$A:$A,DATE(PORTADA!$B$2,4,30),MOVIMIENTOS!$C:$C,T$4))</f>
        <v/>
      </c>
      <c r="U34" s="22">
        <f>IF(DAY(DATE(PORTADA!$B$2,4,30))&lt;&gt;30,"",SUMIFS(MOVIMIENTOS!$F:$F,MOVIMIENTOS!$A:$A,DATE(PORTADA!$B$2,4,30),MOVIMIENTOS!$C:$C,U$4))</f>
        <v/>
      </c>
      <c r="V34" s="22">
        <f>IF(DAY(DATE(PORTADA!$B$2,4,30))&lt;&gt;30,"",SUMIFS(MOVIMIENTOS!$F:$F,MOVIMIENTOS!$A:$A,DATE(PORTADA!$B$2,4,30),MOVIMIENTOS!$C:$C,V$4))</f>
        <v/>
      </c>
      <c r="W34" s="22">
        <f>IF(DAY(DATE(PORTADA!$B$2,4,30))&lt;&gt;30,"",SUMIFS(MOVIMIENTOS!$F:$F,MOVIMIENTOS!$A:$A,DATE(PORTADA!$B$2,4,30),MOVIMIENTOS!$C:$C,W$4))</f>
        <v/>
      </c>
      <c r="X34" s="22">
        <f>IF(DAY(DATE(PORTADA!$B$2,4,30))&lt;&gt;30,"",SUMIFS(MOVIMIENTOS!$F:$F,MOVIMIENTOS!$A:$A,DATE(PORTADA!$B$2,4,30),MOVIMIENTOS!$C:$C,X$4))</f>
        <v/>
      </c>
      <c r="Y34" s="22">
        <f>IF(DAY(DATE(PORTADA!$B$2,4,30))&lt;&gt;30,"",SUMIFS(MOVIMIENTOS!$F:$F,MOVIMIENTOS!$A:$A,DATE(PORTADA!$B$2,4,30),MOVIMIENTOS!$C:$C,Y$4))</f>
        <v/>
      </c>
      <c r="Z34" s="22">
        <f>IF(DAY(DATE(PORTADA!$B$2,4,30))&lt;&gt;30,"",SUMIFS(MOVIMIENTOS!$F:$F,MOVIMIENTOS!$A:$A,DATE(PORTADA!$B$2,4,30),MOVIMIENTOS!$C:$C,Z$4))</f>
        <v/>
      </c>
      <c r="AA34" s="22">
        <f>IF(DAY(DATE(PORTADA!$B$2,4,30))&lt;&gt;30,"",SUM(T34:Z34))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SUMIFS(MOVIMIENTOS!$F:$F,MOVIMIENTOS!$A:$A,"&gt;="&amp;DATE(PORTADA!$B$2,4,1),MOVIMIENTOS!$A:$A,"&lt;="&amp;EOMONTH(DATE(PORTADA!$B$2,4,1),0),MOVIMIENTOS!$D:$D,$B35)</f>
        <v/>
      </c>
      <c r="E35" s="8">
        <f>C35-D35</f>
        <v/>
      </c>
      <c r="F35" s="9">
        <f>IFERROR(D35/C35,"")</f>
        <v/>
      </c>
      <c r="S35" s="21">
        <f>IF(DAY(DATE(PORTADA!$B$2,4,31))&lt;&gt;31,"",31)</f>
        <v/>
      </c>
      <c r="T35" s="22">
        <f>IF(DAY(DATE(PORTADA!$B$2,4,31))&lt;&gt;31,"",SUMIFS(MOVIMIENTOS!$F:$F,MOVIMIENTOS!$A:$A,DATE(PORTADA!$B$2,4,31),MOVIMIENTOS!$C:$C,T$4))</f>
        <v/>
      </c>
      <c r="U35" s="22">
        <f>IF(DAY(DATE(PORTADA!$B$2,4,31))&lt;&gt;31,"",SUMIFS(MOVIMIENTOS!$F:$F,MOVIMIENTOS!$A:$A,DATE(PORTADA!$B$2,4,31),MOVIMIENTOS!$C:$C,U$4))</f>
        <v/>
      </c>
      <c r="V35" s="22">
        <f>IF(DAY(DATE(PORTADA!$B$2,4,31))&lt;&gt;31,"",SUMIFS(MOVIMIENTOS!$F:$F,MOVIMIENTOS!$A:$A,DATE(PORTADA!$B$2,4,31),MOVIMIENTOS!$C:$C,V$4))</f>
        <v/>
      </c>
      <c r="W35" s="22">
        <f>IF(DAY(DATE(PORTADA!$B$2,4,31))&lt;&gt;31,"",SUMIFS(MOVIMIENTOS!$F:$F,MOVIMIENTOS!$A:$A,DATE(PORTADA!$B$2,4,31),MOVIMIENTOS!$C:$C,W$4))</f>
        <v/>
      </c>
      <c r="X35" s="22">
        <f>IF(DAY(DATE(PORTADA!$B$2,4,31))&lt;&gt;31,"",SUMIFS(MOVIMIENTOS!$F:$F,MOVIMIENTOS!$A:$A,DATE(PORTADA!$B$2,4,31),MOVIMIENTOS!$C:$C,X$4))</f>
        <v/>
      </c>
      <c r="Y35" s="22">
        <f>IF(DAY(DATE(PORTADA!$B$2,4,31))&lt;&gt;31,"",SUMIFS(MOVIMIENTOS!$F:$F,MOVIMIENTOS!$A:$A,DATE(PORTADA!$B$2,4,31),MOVIMIENTOS!$C:$C,Y$4))</f>
        <v/>
      </c>
      <c r="Z35" s="22">
        <f>IF(DAY(DATE(PORTADA!$B$2,4,31))&lt;&gt;31,"",SUMIFS(MOVIMIENTOS!$F:$F,MOVIMIENTOS!$A:$A,DATE(PORTADA!$B$2,4,31),MOVIMIENTOS!$C:$C,Z$4))</f>
        <v/>
      </c>
      <c r="AA35" s="22">
        <f>IF(DAY(DATE(PORTADA!$B$2,4,31))&lt;&gt;31,"",SUM(T35:Z35))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SUMIFS(MOVIMIENTOS!$F:$F,MOVIMIENTOS!$A:$A,"&gt;="&amp;DATE(PORTADA!$B$2,4,1),MOVIMIENTOS!$A:$A,"&lt;="&amp;EOMONTH(DATE(PORTADA!$B$2,4,1),0),MOVIMIENTOS!$D:$D,$B36)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SUMIFS(MOVIMIENTOS!$F:$F,MOVIMIENTOS!$A:$A,"&gt;="&amp;DATE(PORTADA!$B$2,4,1),MOVIMIENTOS!$A:$A,"&lt;="&amp;EOMONTH(DATE(PORTADA!$B$2,4,1),0),MOVIMIENTOS!$D:$D,$B37)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SUMIFS(MOVIMIENTOS!$F:$F,MOVIMIENTOS!$A:$A,"&gt;="&amp;DATE(PORTADA!$B$2,4,1),MOVIMIENTOS!$A:$A,"&lt;="&amp;EOMONTH(DATE(PORTADA!$B$2,4,1),0),MOVIMIENTOS!$D:$D,$B38)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SUMIFS(MOVIMIENTOS!$F:$F,MOVIMIENTOS!$A:$A,"&gt;="&amp;DATE(PORTADA!$B$2,4,1),MOVIMIENTOS!$A:$A,"&lt;="&amp;EOMONTH(DATE(PORTADA!$B$2,4,1),0),MOVIMIENTOS!$D:$D,$B39)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SUMIFS(MOVIMIENTOS!$F:$F,MOVIMIENTOS!$A:$A,"&gt;="&amp;DATE(PORTADA!$B$2,4,1),MOVIMIENTOS!$A:$A,"&lt;="&amp;EOMONTH(DATE(PORTADA!$B$2,4,1),0),MOVIMIENTOS!$E:$E,"GASTO")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SUMIFS(MOVIMIENTOS!$F:$F,MOVIMIENTOS!$A:$A,"&gt;="&amp;DATE(PORTADA!$B$2,4,1),MOVIMIENTOS!$A:$A,"&lt;="&amp;EOMONTH(DATE(PORTADA!$B$2,4,1),0),MOVIMIENTOS!$E:$E,"AHORRO")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SUMIFS(MOVIMIENTOS!$F:$F,MOVIMIENTOS!$A:$A,"&gt;="&amp;DATE(PORTADA!$B$2,4,1),MOVIMIENTOS!$A:$A,"&lt;="&amp;EOMONTH(DATE(PORTADA!$B$2,4,1),0),MOVIMIENTOS!$E:$E,"DEUDA")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MAYO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IF(DAY(DATE(PORTADA!$B$2,5,1))&lt;&gt;1,"",1)</f>
        <v/>
      </c>
      <c r="T5" s="22">
        <f>IF(DAY(DATE(PORTADA!$B$2,5,1))&lt;&gt;1,"",SUMIFS(MOVIMIENTOS!$F:$F,MOVIMIENTOS!$A:$A,DATE(PORTADA!$B$2,5,1),MOVIMIENTOS!$C:$C,T$4))</f>
        <v/>
      </c>
      <c r="U5" s="22">
        <f>IF(DAY(DATE(PORTADA!$B$2,5,1))&lt;&gt;1,"",SUMIFS(MOVIMIENTOS!$F:$F,MOVIMIENTOS!$A:$A,DATE(PORTADA!$B$2,5,1),MOVIMIENTOS!$C:$C,U$4))</f>
        <v/>
      </c>
      <c r="V5" s="22">
        <f>IF(DAY(DATE(PORTADA!$B$2,5,1))&lt;&gt;1,"",SUMIFS(MOVIMIENTOS!$F:$F,MOVIMIENTOS!$A:$A,DATE(PORTADA!$B$2,5,1),MOVIMIENTOS!$C:$C,V$4))</f>
        <v/>
      </c>
      <c r="W5" s="22">
        <f>IF(DAY(DATE(PORTADA!$B$2,5,1))&lt;&gt;1,"",SUMIFS(MOVIMIENTOS!$F:$F,MOVIMIENTOS!$A:$A,DATE(PORTADA!$B$2,5,1),MOVIMIENTOS!$C:$C,W$4))</f>
        <v/>
      </c>
      <c r="X5" s="22">
        <f>IF(DAY(DATE(PORTADA!$B$2,5,1))&lt;&gt;1,"",SUMIFS(MOVIMIENTOS!$F:$F,MOVIMIENTOS!$A:$A,DATE(PORTADA!$B$2,5,1),MOVIMIENTOS!$C:$C,X$4))</f>
        <v/>
      </c>
      <c r="Y5" s="22">
        <f>IF(DAY(DATE(PORTADA!$B$2,5,1))&lt;&gt;1,"",SUMIFS(MOVIMIENTOS!$F:$F,MOVIMIENTOS!$A:$A,DATE(PORTADA!$B$2,5,1),MOVIMIENTOS!$C:$C,Y$4))</f>
        <v/>
      </c>
      <c r="Z5" s="22">
        <f>IF(DAY(DATE(PORTADA!$B$2,5,1))&lt;&gt;1,"",SUMIFS(MOVIMIENTOS!$F:$F,MOVIMIENTOS!$A:$A,DATE(PORTADA!$B$2,5,1),MOVIMIENTOS!$C:$C,Z$4))</f>
        <v/>
      </c>
      <c r="AA5" s="22">
        <f>IF(DAY(DATE(PORTADA!$B$2,5,1))&lt;&gt;1,"",SUM(T5:Z5))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SUMIFS(MOVIMIENTOS!$F:$F,MOVIMIENTOS!$A:$A,"&gt;="&amp;DATE(PORTADA!$B$2,5,1),MOVIMIENTOS!$A:$A,"&lt;="&amp;EOMONTH(DATE(PORTADA!$B$2,5,1),0),MOVIMIENTOS!$D:$D,$B6)</f>
        <v/>
      </c>
      <c r="E6" s="8">
        <f>D6-C6</f>
        <v/>
      </c>
      <c r="F6" s="9">
        <f>IFERROR(D6/C6,"")</f>
        <v/>
      </c>
      <c r="S6" s="21">
        <f>IF(DAY(DATE(PORTADA!$B$2,5,2))&lt;&gt;2,"",2)</f>
        <v/>
      </c>
      <c r="T6" s="22">
        <f>IF(DAY(DATE(PORTADA!$B$2,5,2))&lt;&gt;2,"",SUMIFS(MOVIMIENTOS!$F:$F,MOVIMIENTOS!$A:$A,DATE(PORTADA!$B$2,5,2),MOVIMIENTOS!$C:$C,T$4))</f>
        <v/>
      </c>
      <c r="U6" s="22">
        <f>IF(DAY(DATE(PORTADA!$B$2,5,2))&lt;&gt;2,"",SUMIFS(MOVIMIENTOS!$F:$F,MOVIMIENTOS!$A:$A,DATE(PORTADA!$B$2,5,2),MOVIMIENTOS!$C:$C,U$4))</f>
        <v/>
      </c>
      <c r="V6" s="22">
        <f>IF(DAY(DATE(PORTADA!$B$2,5,2))&lt;&gt;2,"",SUMIFS(MOVIMIENTOS!$F:$F,MOVIMIENTOS!$A:$A,DATE(PORTADA!$B$2,5,2),MOVIMIENTOS!$C:$C,V$4))</f>
        <v/>
      </c>
      <c r="W6" s="22">
        <f>IF(DAY(DATE(PORTADA!$B$2,5,2))&lt;&gt;2,"",SUMIFS(MOVIMIENTOS!$F:$F,MOVIMIENTOS!$A:$A,DATE(PORTADA!$B$2,5,2),MOVIMIENTOS!$C:$C,W$4))</f>
        <v/>
      </c>
      <c r="X6" s="22">
        <f>IF(DAY(DATE(PORTADA!$B$2,5,2))&lt;&gt;2,"",SUMIFS(MOVIMIENTOS!$F:$F,MOVIMIENTOS!$A:$A,DATE(PORTADA!$B$2,5,2),MOVIMIENTOS!$C:$C,X$4))</f>
        <v/>
      </c>
      <c r="Y6" s="22">
        <f>IF(DAY(DATE(PORTADA!$B$2,5,2))&lt;&gt;2,"",SUMIFS(MOVIMIENTOS!$F:$F,MOVIMIENTOS!$A:$A,DATE(PORTADA!$B$2,5,2),MOVIMIENTOS!$C:$C,Y$4))</f>
        <v/>
      </c>
      <c r="Z6" s="22">
        <f>IF(DAY(DATE(PORTADA!$B$2,5,2))&lt;&gt;2,"",SUMIFS(MOVIMIENTOS!$F:$F,MOVIMIENTOS!$A:$A,DATE(PORTADA!$B$2,5,2),MOVIMIENTOS!$C:$C,Z$4))</f>
        <v/>
      </c>
      <c r="AA6" s="22">
        <f>IF(DAY(DATE(PORTADA!$B$2,5,2))&lt;&gt;2,"",SUM(T6:Z6))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SUMIFS(MOVIMIENTOS!$F:$F,MOVIMIENTOS!$A:$A,"&gt;="&amp;DATE(PORTADA!$B$2,5,1),MOVIMIENTOS!$A:$A,"&lt;="&amp;EOMONTH(DATE(PORTADA!$B$2,5,1),0),MOVIMIENTOS!$D:$D,$B7)</f>
        <v/>
      </c>
      <c r="E7" s="8">
        <f>D7-C7</f>
        <v/>
      </c>
      <c r="F7" s="9">
        <f>IFERROR(D7/C7,"")</f>
        <v/>
      </c>
      <c r="S7" s="21">
        <f>IF(DAY(DATE(PORTADA!$B$2,5,3))&lt;&gt;3,"",3)</f>
        <v/>
      </c>
      <c r="T7" s="22">
        <f>IF(DAY(DATE(PORTADA!$B$2,5,3))&lt;&gt;3,"",SUMIFS(MOVIMIENTOS!$F:$F,MOVIMIENTOS!$A:$A,DATE(PORTADA!$B$2,5,3),MOVIMIENTOS!$C:$C,T$4))</f>
        <v/>
      </c>
      <c r="U7" s="22">
        <f>IF(DAY(DATE(PORTADA!$B$2,5,3))&lt;&gt;3,"",SUMIFS(MOVIMIENTOS!$F:$F,MOVIMIENTOS!$A:$A,DATE(PORTADA!$B$2,5,3),MOVIMIENTOS!$C:$C,U$4))</f>
        <v/>
      </c>
      <c r="V7" s="22">
        <f>IF(DAY(DATE(PORTADA!$B$2,5,3))&lt;&gt;3,"",SUMIFS(MOVIMIENTOS!$F:$F,MOVIMIENTOS!$A:$A,DATE(PORTADA!$B$2,5,3),MOVIMIENTOS!$C:$C,V$4))</f>
        <v/>
      </c>
      <c r="W7" s="22">
        <f>IF(DAY(DATE(PORTADA!$B$2,5,3))&lt;&gt;3,"",SUMIFS(MOVIMIENTOS!$F:$F,MOVIMIENTOS!$A:$A,DATE(PORTADA!$B$2,5,3),MOVIMIENTOS!$C:$C,W$4))</f>
        <v/>
      </c>
      <c r="X7" s="22">
        <f>IF(DAY(DATE(PORTADA!$B$2,5,3))&lt;&gt;3,"",SUMIFS(MOVIMIENTOS!$F:$F,MOVIMIENTOS!$A:$A,DATE(PORTADA!$B$2,5,3),MOVIMIENTOS!$C:$C,X$4))</f>
        <v/>
      </c>
      <c r="Y7" s="22">
        <f>IF(DAY(DATE(PORTADA!$B$2,5,3))&lt;&gt;3,"",SUMIFS(MOVIMIENTOS!$F:$F,MOVIMIENTOS!$A:$A,DATE(PORTADA!$B$2,5,3),MOVIMIENTOS!$C:$C,Y$4))</f>
        <v/>
      </c>
      <c r="Z7" s="22">
        <f>IF(DAY(DATE(PORTADA!$B$2,5,3))&lt;&gt;3,"",SUMIFS(MOVIMIENTOS!$F:$F,MOVIMIENTOS!$A:$A,DATE(PORTADA!$B$2,5,3),MOVIMIENTOS!$C:$C,Z$4))</f>
        <v/>
      </c>
      <c r="AA7" s="22">
        <f>IF(DAY(DATE(PORTADA!$B$2,5,3))&lt;&gt;3,"",SUM(T7:Z7))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SUMIFS(MOVIMIENTOS!$F:$F,MOVIMIENTOS!$A:$A,"&gt;="&amp;DATE(PORTADA!$B$2,5,1),MOVIMIENTOS!$A:$A,"&lt;="&amp;EOMONTH(DATE(PORTADA!$B$2,5,1),0),MOVIMIENTOS!$D:$D,$B8)</f>
        <v/>
      </c>
      <c r="E8" s="8">
        <f>D8-C8</f>
        <v/>
      </c>
      <c r="F8" s="9">
        <f>IFERROR(D8/C8,"")</f>
        <v/>
      </c>
      <c r="S8" s="21">
        <f>IF(DAY(DATE(PORTADA!$B$2,5,4))&lt;&gt;4,"",4)</f>
        <v/>
      </c>
      <c r="T8" s="22">
        <f>IF(DAY(DATE(PORTADA!$B$2,5,4))&lt;&gt;4,"",SUMIFS(MOVIMIENTOS!$F:$F,MOVIMIENTOS!$A:$A,DATE(PORTADA!$B$2,5,4),MOVIMIENTOS!$C:$C,T$4))</f>
        <v/>
      </c>
      <c r="U8" s="22">
        <f>IF(DAY(DATE(PORTADA!$B$2,5,4))&lt;&gt;4,"",SUMIFS(MOVIMIENTOS!$F:$F,MOVIMIENTOS!$A:$A,DATE(PORTADA!$B$2,5,4),MOVIMIENTOS!$C:$C,U$4))</f>
        <v/>
      </c>
      <c r="V8" s="22">
        <f>IF(DAY(DATE(PORTADA!$B$2,5,4))&lt;&gt;4,"",SUMIFS(MOVIMIENTOS!$F:$F,MOVIMIENTOS!$A:$A,DATE(PORTADA!$B$2,5,4),MOVIMIENTOS!$C:$C,V$4))</f>
        <v/>
      </c>
      <c r="W8" s="22">
        <f>IF(DAY(DATE(PORTADA!$B$2,5,4))&lt;&gt;4,"",SUMIFS(MOVIMIENTOS!$F:$F,MOVIMIENTOS!$A:$A,DATE(PORTADA!$B$2,5,4),MOVIMIENTOS!$C:$C,W$4))</f>
        <v/>
      </c>
      <c r="X8" s="22">
        <f>IF(DAY(DATE(PORTADA!$B$2,5,4))&lt;&gt;4,"",SUMIFS(MOVIMIENTOS!$F:$F,MOVIMIENTOS!$A:$A,DATE(PORTADA!$B$2,5,4),MOVIMIENTOS!$C:$C,X$4))</f>
        <v/>
      </c>
      <c r="Y8" s="22">
        <f>IF(DAY(DATE(PORTADA!$B$2,5,4))&lt;&gt;4,"",SUMIFS(MOVIMIENTOS!$F:$F,MOVIMIENTOS!$A:$A,DATE(PORTADA!$B$2,5,4),MOVIMIENTOS!$C:$C,Y$4))</f>
        <v/>
      </c>
      <c r="Z8" s="22">
        <f>IF(DAY(DATE(PORTADA!$B$2,5,4))&lt;&gt;4,"",SUMIFS(MOVIMIENTOS!$F:$F,MOVIMIENTOS!$A:$A,DATE(PORTADA!$B$2,5,4),MOVIMIENTOS!$C:$C,Z$4))</f>
        <v/>
      </c>
      <c r="AA8" s="22">
        <f>IF(DAY(DATE(PORTADA!$B$2,5,4))&lt;&gt;4,"",SUM(T8:Z8))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SUMIFS(MOVIMIENTOS!$F:$F,MOVIMIENTOS!$A:$A,"&gt;="&amp;DATE(PORTADA!$B$2,5,1),MOVIMIENTOS!$A:$A,"&lt;="&amp;EOMONTH(DATE(PORTADA!$B$2,5,1),0),MOVIMIENTOS!$D:$D,$B9)</f>
        <v/>
      </c>
      <c r="E9" s="8">
        <f>D9-C9</f>
        <v/>
      </c>
      <c r="F9" s="9">
        <f>IFERROR(D9/C9,"")</f>
        <v/>
      </c>
      <c r="S9" s="21">
        <f>IF(DAY(DATE(PORTADA!$B$2,5,5))&lt;&gt;5,"",5)</f>
        <v/>
      </c>
      <c r="T9" s="22">
        <f>IF(DAY(DATE(PORTADA!$B$2,5,5))&lt;&gt;5,"",SUMIFS(MOVIMIENTOS!$F:$F,MOVIMIENTOS!$A:$A,DATE(PORTADA!$B$2,5,5),MOVIMIENTOS!$C:$C,T$4))</f>
        <v/>
      </c>
      <c r="U9" s="22">
        <f>IF(DAY(DATE(PORTADA!$B$2,5,5))&lt;&gt;5,"",SUMIFS(MOVIMIENTOS!$F:$F,MOVIMIENTOS!$A:$A,DATE(PORTADA!$B$2,5,5),MOVIMIENTOS!$C:$C,U$4))</f>
        <v/>
      </c>
      <c r="V9" s="22">
        <f>IF(DAY(DATE(PORTADA!$B$2,5,5))&lt;&gt;5,"",SUMIFS(MOVIMIENTOS!$F:$F,MOVIMIENTOS!$A:$A,DATE(PORTADA!$B$2,5,5),MOVIMIENTOS!$C:$C,V$4))</f>
        <v/>
      </c>
      <c r="W9" s="22">
        <f>IF(DAY(DATE(PORTADA!$B$2,5,5))&lt;&gt;5,"",SUMIFS(MOVIMIENTOS!$F:$F,MOVIMIENTOS!$A:$A,DATE(PORTADA!$B$2,5,5),MOVIMIENTOS!$C:$C,W$4))</f>
        <v/>
      </c>
      <c r="X9" s="22">
        <f>IF(DAY(DATE(PORTADA!$B$2,5,5))&lt;&gt;5,"",SUMIFS(MOVIMIENTOS!$F:$F,MOVIMIENTOS!$A:$A,DATE(PORTADA!$B$2,5,5),MOVIMIENTOS!$C:$C,X$4))</f>
        <v/>
      </c>
      <c r="Y9" s="22">
        <f>IF(DAY(DATE(PORTADA!$B$2,5,5))&lt;&gt;5,"",SUMIFS(MOVIMIENTOS!$F:$F,MOVIMIENTOS!$A:$A,DATE(PORTADA!$B$2,5,5),MOVIMIENTOS!$C:$C,Y$4))</f>
        <v/>
      </c>
      <c r="Z9" s="22">
        <f>IF(DAY(DATE(PORTADA!$B$2,5,5))&lt;&gt;5,"",SUMIFS(MOVIMIENTOS!$F:$F,MOVIMIENTOS!$A:$A,DATE(PORTADA!$B$2,5,5),MOVIMIENTOS!$C:$C,Z$4))</f>
        <v/>
      </c>
      <c r="AA9" s="22">
        <f>IF(DAY(DATE(PORTADA!$B$2,5,5))&lt;&gt;5,"",SUM(T9:Z9))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SUMIFS(MOVIMIENTOS!$F:$F,MOVIMIENTOS!$A:$A,"&gt;="&amp;DATE(PORTADA!$B$2,5,1),MOVIMIENTOS!$A:$A,"&lt;="&amp;EOMONTH(DATE(PORTADA!$B$2,5,1),0),MOVIMIENTOS!$D:$D,$B10)</f>
        <v/>
      </c>
      <c r="E10" s="8">
        <f>D10-C10</f>
        <v/>
      </c>
      <c r="F10" s="9">
        <f>IFERROR(D10/C10,"")</f>
        <v/>
      </c>
      <c r="S10" s="21">
        <f>IF(DAY(DATE(PORTADA!$B$2,5,6))&lt;&gt;6,"",6)</f>
        <v/>
      </c>
      <c r="T10" s="22">
        <f>IF(DAY(DATE(PORTADA!$B$2,5,6))&lt;&gt;6,"",SUMIFS(MOVIMIENTOS!$F:$F,MOVIMIENTOS!$A:$A,DATE(PORTADA!$B$2,5,6),MOVIMIENTOS!$C:$C,T$4))</f>
        <v/>
      </c>
      <c r="U10" s="22">
        <f>IF(DAY(DATE(PORTADA!$B$2,5,6))&lt;&gt;6,"",SUMIFS(MOVIMIENTOS!$F:$F,MOVIMIENTOS!$A:$A,DATE(PORTADA!$B$2,5,6),MOVIMIENTOS!$C:$C,U$4))</f>
        <v/>
      </c>
      <c r="V10" s="22">
        <f>IF(DAY(DATE(PORTADA!$B$2,5,6))&lt;&gt;6,"",SUMIFS(MOVIMIENTOS!$F:$F,MOVIMIENTOS!$A:$A,DATE(PORTADA!$B$2,5,6),MOVIMIENTOS!$C:$C,V$4))</f>
        <v/>
      </c>
      <c r="W10" s="22">
        <f>IF(DAY(DATE(PORTADA!$B$2,5,6))&lt;&gt;6,"",SUMIFS(MOVIMIENTOS!$F:$F,MOVIMIENTOS!$A:$A,DATE(PORTADA!$B$2,5,6),MOVIMIENTOS!$C:$C,W$4))</f>
        <v/>
      </c>
      <c r="X10" s="22">
        <f>IF(DAY(DATE(PORTADA!$B$2,5,6))&lt;&gt;6,"",SUMIFS(MOVIMIENTOS!$F:$F,MOVIMIENTOS!$A:$A,DATE(PORTADA!$B$2,5,6),MOVIMIENTOS!$C:$C,X$4))</f>
        <v/>
      </c>
      <c r="Y10" s="22">
        <f>IF(DAY(DATE(PORTADA!$B$2,5,6))&lt;&gt;6,"",SUMIFS(MOVIMIENTOS!$F:$F,MOVIMIENTOS!$A:$A,DATE(PORTADA!$B$2,5,6),MOVIMIENTOS!$C:$C,Y$4))</f>
        <v/>
      </c>
      <c r="Z10" s="22">
        <f>IF(DAY(DATE(PORTADA!$B$2,5,6))&lt;&gt;6,"",SUMIFS(MOVIMIENTOS!$F:$F,MOVIMIENTOS!$A:$A,DATE(PORTADA!$B$2,5,6),MOVIMIENTOS!$C:$C,Z$4))</f>
        <v/>
      </c>
      <c r="AA10" s="22">
        <f>IF(DAY(DATE(PORTADA!$B$2,5,6))&lt;&gt;6,"",SUM(T10:Z10))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SUMIFS(MOVIMIENTOS!$F:$F,MOVIMIENTOS!$A:$A,"&gt;="&amp;DATE(PORTADA!$B$2,5,1),MOVIMIENTOS!$A:$A,"&lt;="&amp;EOMONTH(DATE(PORTADA!$B$2,5,1),0),MOVIMIENTOS!$D:$D,$B11)</f>
        <v/>
      </c>
      <c r="E11" s="8">
        <f>D11-C11</f>
        <v/>
      </c>
      <c r="F11" s="9">
        <f>IFERROR(D11/C11,"")</f>
        <v/>
      </c>
      <c r="S11" s="21">
        <f>IF(DAY(DATE(PORTADA!$B$2,5,7))&lt;&gt;7,"",7)</f>
        <v/>
      </c>
      <c r="T11" s="22">
        <f>IF(DAY(DATE(PORTADA!$B$2,5,7))&lt;&gt;7,"",SUMIFS(MOVIMIENTOS!$F:$F,MOVIMIENTOS!$A:$A,DATE(PORTADA!$B$2,5,7),MOVIMIENTOS!$C:$C,T$4))</f>
        <v/>
      </c>
      <c r="U11" s="22">
        <f>IF(DAY(DATE(PORTADA!$B$2,5,7))&lt;&gt;7,"",SUMIFS(MOVIMIENTOS!$F:$F,MOVIMIENTOS!$A:$A,DATE(PORTADA!$B$2,5,7),MOVIMIENTOS!$C:$C,U$4))</f>
        <v/>
      </c>
      <c r="V11" s="22">
        <f>IF(DAY(DATE(PORTADA!$B$2,5,7))&lt;&gt;7,"",SUMIFS(MOVIMIENTOS!$F:$F,MOVIMIENTOS!$A:$A,DATE(PORTADA!$B$2,5,7),MOVIMIENTOS!$C:$C,V$4))</f>
        <v/>
      </c>
      <c r="W11" s="22">
        <f>IF(DAY(DATE(PORTADA!$B$2,5,7))&lt;&gt;7,"",SUMIFS(MOVIMIENTOS!$F:$F,MOVIMIENTOS!$A:$A,DATE(PORTADA!$B$2,5,7),MOVIMIENTOS!$C:$C,W$4))</f>
        <v/>
      </c>
      <c r="X11" s="22">
        <f>IF(DAY(DATE(PORTADA!$B$2,5,7))&lt;&gt;7,"",SUMIFS(MOVIMIENTOS!$F:$F,MOVIMIENTOS!$A:$A,DATE(PORTADA!$B$2,5,7),MOVIMIENTOS!$C:$C,X$4))</f>
        <v/>
      </c>
      <c r="Y11" s="22">
        <f>IF(DAY(DATE(PORTADA!$B$2,5,7))&lt;&gt;7,"",SUMIFS(MOVIMIENTOS!$F:$F,MOVIMIENTOS!$A:$A,DATE(PORTADA!$B$2,5,7),MOVIMIENTOS!$C:$C,Y$4))</f>
        <v/>
      </c>
      <c r="Z11" s="22">
        <f>IF(DAY(DATE(PORTADA!$B$2,5,7))&lt;&gt;7,"",SUMIFS(MOVIMIENTOS!$F:$F,MOVIMIENTOS!$A:$A,DATE(PORTADA!$B$2,5,7),MOVIMIENTOS!$C:$C,Z$4))</f>
        <v/>
      </c>
      <c r="AA11" s="22">
        <f>IF(DAY(DATE(PORTADA!$B$2,5,7))&lt;&gt;7,"",SUM(T11:Z11))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SUMIFS(MOVIMIENTOS!$F:$F,MOVIMIENTOS!$A:$A,"&gt;="&amp;DATE(PORTADA!$B$2,5,1),MOVIMIENTOS!$A:$A,"&lt;="&amp;EOMONTH(DATE(PORTADA!$B$2,5,1),0),MOVIMIENTOS!$D:$D,$B12)</f>
        <v/>
      </c>
      <c r="E12" s="8">
        <f>D12-C12</f>
        <v/>
      </c>
      <c r="F12" s="9">
        <f>IFERROR(D12/C12,"")</f>
        <v/>
      </c>
      <c r="S12" s="21">
        <f>IF(DAY(DATE(PORTADA!$B$2,5,8))&lt;&gt;8,"",8)</f>
        <v/>
      </c>
      <c r="T12" s="22">
        <f>IF(DAY(DATE(PORTADA!$B$2,5,8))&lt;&gt;8,"",SUMIFS(MOVIMIENTOS!$F:$F,MOVIMIENTOS!$A:$A,DATE(PORTADA!$B$2,5,8),MOVIMIENTOS!$C:$C,T$4))</f>
        <v/>
      </c>
      <c r="U12" s="22">
        <f>IF(DAY(DATE(PORTADA!$B$2,5,8))&lt;&gt;8,"",SUMIFS(MOVIMIENTOS!$F:$F,MOVIMIENTOS!$A:$A,DATE(PORTADA!$B$2,5,8),MOVIMIENTOS!$C:$C,U$4))</f>
        <v/>
      </c>
      <c r="V12" s="22">
        <f>IF(DAY(DATE(PORTADA!$B$2,5,8))&lt;&gt;8,"",SUMIFS(MOVIMIENTOS!$F:$F,MOVIMIENTOS!$A:$A,DATE(PORTADA!$B$2,5,8),MOVIMIENTOS!$C:$C,V$4))</f>
        <v/>
      </c>
      <c r="W12" s="22">
        <f>IF(DAY(DATE(PORTADA!$B$2,5,8))&lt;&gt;8,"",SUMIFS(MOVIMIENTOS!$F:$F,MOVIMIENTOS!$A:$A,DATE(PORTADA!$B$2,5,8),MOVIMIENTOS!$C:$C,W$4))</f>
        <v/>
      </c>
      <c r="X12" s="22">
        <f>IF(DAY(DATE(PORTADA!$B$2,5,8))&lt;&gt;8,"",SUMIFS(MOVIMIENTOS!$F:$F,MOVIMIENTOS!$A:$A,DATE(PORTADA!$B$2,5,8),MOVIMIENTOS!$C:$C,X$4))</f>
        <v/>
      </c>
      <c r="Y12" s="22">
        <f>IF(DAY(DATE(PORTADA!$B$2,5,8))&lt;&gt;8,"",SUMIFS(MOVIMIENTOS!$F:$F,MOVIMIENTOS!$A:$A,DATE(PORTADA!$B$2,5,8),MOVIMIENTOS!$C:$C,Y$4))</f>
        <v/>
      </c>
      <c r="Z12" s="22">
        <f>IF(DAY(DATE(PORTADA!$B$2,5,8))&lt;&gt;8,"",SUMIFS(MOVIMIENTOS!$F:$F,MOVIMIENTOS!$A:$A,DATE(PORTADA!$B$2,5,8),MOVIMIENTOS!$C:$C,Z$4))</f>
        <v/>
      </c>
      <c r="AA12" s="22">
        <f>IF(DAY(DATE(PORTADA!$B$2,5,8))&lt;&gt;8,"",SUM(T12:Z12))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IF(DAY(DATE(PORTADA!$B$2,5,9))&lt;&gt;9,"",9)</f>
        <v/>
      </c>
      <c r="T13" s="22">
        <f>IF(DAY(DATE(PORTADA!$B$2,5,9))&lt;&gt;9,"",SUMIFS(MOVIMIENTOS!$F:$F,MOVIMIENTOS!$A:$A,DATE(PORTADA!$B$2,5,9),MOVIMIENTOS!$C:$C,T$4))</f>
        <v/>
      </c>
      <c r="U13" s="22">
        <f>IF(DAY(DATE(PORTADA!$B$2,5,9))&lt;&gt;9,"",SUMIFS(MOVIMIENTOS!$F:$F,MOVIMIENTOS!$A:$A,DATE(PORTADA!$B$2,5,9),MOVIMIENTOS!$C:$C,U$4))</f>
        <v/>
      </c>
      <c r="V13" s="22">
        <f>IF(DAY(DATE(PORTADA!$B$2,5,9))&lt;&gt;9,"",SUMIFS(MOVIMIENTOS!$F:$F,MOVIMIENTOS!$A:$A,DATE(PORTADA!$B$2,5,9),MOVIMIENTOS!$C:$C,V$4))</f>
        <v/>
      </c>
      <c r="W13" s="22">
        <f>IF(DAY(DATE(PORTADA!$B$2,5,9))&lt;&gt;9,"",SUMIFS(MOVIMIENTOS!$F:$F,MOVIMIENTOS!$A:$A,DATE(PORTADA!$B$2,5,9),MOVIMIENTOS!$C:$C,W$4))</f>
        <v/>
      </c>
      <c r="X13" s="22">
        <f>IF(DAY(DATE(PORTADA!$B$2,5,9))&lt;&gt;9,"",SUMIFS(MOVIMIENTOS!$F:$F,MOVIMIENTOS!$A:$A,DATE(PORTADA!$B$2,5,9),MOVIMIENTOS!$C:$C,X$4))</f>
        <v/>
      </c>
      <c r="Y13" s="22">
        <f>IF(DAY(DATE(PORTADA!$B$2,5,9))&lt;&gt;9,"",SUMIFS(MOVIMIENTOS!$F:$F,MOVIMIENTOS!$A:$A,DATE(PORTADA!$B$2,5,9),MOVIMIENTOS!$C:$C,Y$4))</f>
        <v/>
      </c>
      <c r="Z13" s="22">
        <f>IF(DAY(DATE(PORTADA!$B$2,5,9))&lt;&gt;9,"",SUMIFS(MOVIMIENTOS!$F:$F,MOVIMIENTOS!$A:$A,DATE(PORTADA!$B$2,5,9),MOVIMIENTOS!$C:$C,Z$4))</f>
        <v/>
      </c>
      <c r="AA13" s="22">
        <f>IF(DAY(DATE(PORTADA!$B$2,5,9))&lt;&gt;9,"",SUM(T13:Z13))</f>
        <v/>
      </c>
    </row>
    <row r="14">
      <c r="S14" s="21">
        <f>IF(DAY(DATE(PORTADA!$B$2,5,10))&lt;&gt;10,"",10)</f>
        <v/>
      </c>
      <c r="T14" s="22">
        <f>IF(DAY(DATE(PORTADA!$B$2,5,10))&lt;&gt;10,"",SUMIFS(MOVIMIENTOS!$F:$F,MOVIMIENTOS!$A:$A,DATE(PORTADA!$B$2,5,10),MOVIMIENTOS!$C:$C,T$4))</f>
        <v/>
      </c>
      <c r="U14" s="22">
        <f>IF(DAY(DATE(PORTADA!$B$2,5,10))&lt;&gt;10,"",SUMIFS(MOVIMIENTOS!$F:$F,MOVIMIENTOS!$A:$A,DATE(PORTADA!$B$2,5,10),MOVIMIENTOS!$C:$C,U$4))</f>
        <v/>
      </c>
      <c r="V14" s="22">
        <f>IF(DAY(DATE(PORTADA!$B$2,5,10))&lt;&gt;10,"",SUMIFS(MOVIMIENTOS!$F:$F,MOVIMIENTOS!$A:$A,DATE(PORTADA!$B$2,5,10),MOVIMIENTOS!$C:$C,V$4))</f>
        <v/>
      </c>
      <c r="W14" s="22">
        <f>IF(DAY(DATE(PORTADA!$B$2,5,10))&lt;&gt;10,"",SUMIFS(MOVIMIENTOS!$F:$F,MOVIMIENTOS!$A:$A,DATE(PORTADA!$B$2,5,10),MOVIMIENTOS!$C:$C,W$4))</f>
        <v/>
      </c>
      <c r="X14" s="22">
        <f>IF(DAY(DATE(PORTADA!$B$2,5,10))&lt;&gt;10,"",SUMIFS(MOVIMIENTOS!$F:$F,MOVIMIENTOS!$A:$A,DATE(PORTADA!$B$2,5,10),MOVIMIENTOS!$C:$C,X$4))</f>
        <v/>
      </c>
      <c r="Y14" s="22">
        <f>IF(DAY(DATE(PORTADA!$B$2,5,10))&lt;&gt;10,"",SUMIFS(MOVIMIENTOS!$F:$F,MOVIMIENTOS!$A:$A,DATE(PORTADA!$B$2,5,10),MOVIMIENTOS!$C:$C,Y$4))</f>
        <v/>
      </c>
      <c r="Z14" s="22">
        <f>IF(DAY(DATE(PORTADA!$B$2,5,10))&lt;&gt;10,"",SUMIFS(MOVIMIENTOS!$F:$F,MOVIMIENTOS!$A:$A,DATE(PORTADA!$B$2,5,10),MOVIMIENTOS!$C:$C,Z$4))</f>
        <v/>
      </c>
      <c r="AA14" s="22">
        <f>IF(DAY(DATE(PORTADA!$B$2,5,10))&lt;&gt;10,"",SUM(T14:Z14))</f>
        <v/>
      </c>
    </row>
    <row r="15">
      <c r="A15" s="2" t="inlineStr">
        <is>
          <t>EGRESOS</t>
        </is>
      </c>
      <c r="S15" s="21">
        <f>IF(DAY(DATE(PORTADA!$B$2,5,11))&lt;&gt;11,"",11)</f>
        <v/>
      </c>
      <c r="T15" s="22">
        <f>IF(DAY(DATE(PORTADA!$B$2,5,11))&lt;&gt;11,"",SUMIFS(MOVIMIENTOS!$F:$F,MOVIMIENTOS!$A:$A,DATE(PORTADA!$B$2,5,11),MOVIMIENTOS!$C:$C,T$4))</f>
        <v/>
      </c>
      <c r="U15" s="22">
        <f>IF(DAY(DATE(PORTADA!$B$2,5,11))&lt;&gt;11,"",SUMIFS(MOVIMIENTOS!$F:$F,MOVIMIENTOS!$A:$A,DATE(PORTADA!$B$2,5,11),MOVIMIENTOS!$C:$C,U$4))</f>
        <v/>
      </c>
      <c r="V15" s="22">
        <f>IF(DAY(DATE(PORTADA!$B$2,5,11))&lt;&gt;11,"",SUMIFS(MOVIMIENTOS!$F:$F,MOVIMIENTOS!$A:$A,DATE(PORTADA!$B$2,5,11),MOVIMIENTOS!$C:$C,V$4))</f>
        <v/>
      </c>
      <c r="W15" s="22">
        <f>IF(DAY(DATE(PORTADA!$B$2,5,11))&lt;&gt;11,"",SUMIFS(MOVIMIENTOS!$F:$F,MOVIMIENTOS!$A:$A,DATE(PORTADA!$B$2,5,11),MOVIMIENTOS!$C:$C,W$4))</f>
        <v/>
      </c>
      <c r="X15" s="22">
        <f>IF(DAY(DATE(PORTADA!$B$2,5,11))&lt;&gt;11,"",SUMIFS(MOVIMIENTOS!$F:$F,MOVIMIENTOS!$A:$A,DATE(PORTADA!$B$2,5,11),MOVIMIENTOS!$C:$C,X$4))</f>
        <v/>
      </c>
      <c r="Y15" s="22">
        <f>IF(DAY(DATE(PORTADA!$B$2,5,11))&lt;&gt;11,"",SUMIFS(MOVIMIENTOS!$F:$F,MOVIMIENTOS!$A:$A,DATE(PORTADA!$B$2,5,11),MOVIMIENTOS!$C:$C,Y$4))</f>
        <v/>
      </c>
      <c r="Z15" s="22">
        <f>IF(DAY(DATE(PORTADA!$B$2,5,11))&lt;&gt;11,"",SUMIFS(MOVIMIENTOS!$F:$F,MOVIMIENTOS!$A:$A,DATE(PORTADA!$B$2,5,11),MOVIMIENTOS!$C:$C,Z$4))</f>
        <v/>
      </c>
      <c r="AA15" s="22">
        <f>IF(DAY(DATE(PORTADA!$B$2,5,11))&lt;&gt;11,"",SUM(T15:Z15))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IF(DAY(DATE(PORTADA!$B$2,5,12))&lt;&gt;12,"",12)</f>
        <v/>
      </c>
      <c r="T16" s="22">
        <f>IF(DAY(DATE(PORTADA!$B$2,5,12))&lt;&gt;12,"",SUMIFS(MOVIMIENTOS!$F:$F,MOVIMIENTOS!$A:$A,DATE(PORTADA!$B$2,5,12),MOVIMIENTOS!$C:$C,T$4))</f>
        <v/>
      </c>
      <c r="U16" s="22">
        <f>IF(DAY(DATE(PORTADA!$B$2,5,12))&lt;&gt;12,"",SUMIFS(MOVIMIENTOS!$F:$F,MOVIMIENTOS!$A:$A,DATE(PORTADA!$B$2,5,12),MOVIMIENTOS!$C:$C,U$4))</f>
        <v/>
      </c>
      <c r="V16" s="22">
        <f>IF(DAY(DATE(PORTADA!$B$2,5,12))&lt;&gt;12,"",SUMIFS(MOVIMIENTOS!$F:$F,MOVIMIENTOS!$A:$A,DATE(PORTADA!$B$2,5,12),MOVIMIENTOS!$C:$C,V$4))</f>
        <v/>
      </c>
      <c r="W16" s="22">
        <f>IF(DAY(DATE(PORTADA!$B$2,5,12))&lt;&gt;12,"",SUMIFS(MOVIMIENTOS!$F:$F,MOVIMIENTOS!$A:$A,DATE(PORTADA!$B$2,5,12),MOVIMIENTOS!$C:$C,W$4))</f>
        <v/>
      </c>
      <c r="X16" s="22">
        <f>IF(DAY(DATE(PORTADA!$B$2,5,12))&lt;&gt;12,"",SUMIFS(MOVIMIENTOS!$F:$F,MOVIMIENTOS!$A:$A,DATE(PORTADA!$B$2,5,12),MOVIMIENTOS!$C:$C,X$4))</f>
        <v/>
      </c>
      <c r="Y16" s="22">
        <f>IF(DAY(DATE(PORTADA!$B$2,5,12))&lt;&gt;12,"",SUMIFS(MOVIMIENTOS!$F:$F,MOVIMIENTOS!$A:$A,DATE(PORTADA!$B$2,5,12),MOVIMIENTOS!$C:$C,Y$4))</f>
        <v/>
      </c>
      <c r="Z16" s="22">
        <f>IF(DAY(DATE(PORTADA!$B$2,5,12))&lt;&gt;12,"",SUMIFS(MOVIMIENTOS!$F:$F,MOVIMIENTOS!$A:$A,DATE(PORTADA!$B$2,5,12),MOVIMIENTOS!$C:$C,Z$4))</f>
        <v/>
      </c>
      <c r="AA16" s="22">
        <f>IF(DAY(DATE(PORTADA!$B$2,5,12))&lt;&gt;12,"",SUM(T16:Z16))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SUMIFS(MOVIMIENTOS!$F:$F,MOVIMIENTOS!$A:$A,"&gt;="&amp;DATE(PORTADA!$B$2,5,1),MOVIMIENTOS!$A:$A,"&lt;="&amp;EOMONTH(DATE(PORTADA!$B$2,5,1),0),MOVIMIENTOS!$D:$D,$B17)</f>
        <v/>
      </c>
      <c r="E17" s="8">
        <f>C17-D17</f>
        <v/>
      </c>
      <c r="F17" s="9">
        <f>IFERROR(D17/C17,"")</f>
        <v/>
      </c>
      <c r="S17" s="21">
        <f>IF(DAY(DATE(PORTADA!$B$2,5,13))&lt;&gt;13,"",13)</f>
        <v/>
      </c>
      <c r="T17" s="22">
        <f>IF(DAY(DATE(PORTADA!$B$2,5,13))&lt;&gt;13,"",SUMIFS(MOVIMIENTOS!$F:$F,MOVIMIENTOS!$A:$A,DATE(PORTADA!$B$2,5,13),MOVIMIENTOS!$C:$C,T$4))</f>
        <v/>
      </c>
      <c r="U17" s="22">
        <f>IF(DAY(DATE(PORTADA!$B$2,5,13))&lt;&gt;13,"",SUMIFS(MOVIMIENTOS!$F:$F,MOVIMIENTOS!$A:$A,DATE(PORTADA!$B$2,5,13),MOVIMIENTOS!$C:$C,U$4))</f>
        <v/>
      </c>
      <c r="V17" s="22">
        <f>IF(DAY(DATE(PORTADA!$B$2,5,13))&lt;&gt;13,"",SUMIFS(MOVIMIENTOS!$F:$F,MOVIMIENTOS!$A:$A,DATE(PORTADA!$B$2,5,13),MOVIMIENTOS!$C:$C,V$4))</f>
        <v/>
      </c>
      <c r="W17" s="22">
        <f>IF(DAY(DATE(PORTADA!$B$2,5,13))&lt;&gt;13,"",SUMIFS(MOVIMIENTOS!$F:$F,MOVIMIENTOS!$A:$A,DATE(PORTADA!$B$2,5,13),MOVIMIENTOS!$C:$C,W$4))</f>
        <v/>
      </c>
      <c r="X17" s="22">
        <f>IF(DAY(DATE(PORTADA!$B$2,5,13))&lt;&gt;13,"",SUMIFS(MOVIMIENTOS!$F:$F,MOVIMIENTOS!$A:$A,DATE(PORTADA!$B$2,5,13),MOVIMIENTOS!$C:$C,X$4))</f>
        <v/>
      </c>
      <c r="Y17" s="22">
        <f>IF(DAY(DATE(PORTADA!$B$2,5,13))&lt;&gt;13,"",SUMIFS(MOVIMIENTOS!$F:$F,MOVIMIENTOS!$A:$A,DATE(PORTADA!$B$2,5,13),MOVIMIENTOS!$C:$C,Y$4))</f>
        <v/>
      </c>
      <c r="Z17" s="22">
        <f>IF(DAY(DATE(PORTADA!$B$2,5,13))&lt;&gt;13,"",SUMIFS(MOVIMIENTOS!$F:$F,MOVIMIENTOS!$A:$A,DATE(PORTADA!$B$2,5,13),MOVIMIENTOS!$C:$C,Z$4))</f>
        <v/>
      </c>
      <c r="AA17" s="22">
        <f>IF(DAY(DATE(PORTADA!$B$2,5,13))&lt;&gt;13,"",SUM(T17:Z17))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SUMIFS(MOVIMIENTOS!$F:$F,MOVIMIENTOS!$A:$A,"&gt;="&amp;DATE(PORTADA!$B$2,5,1),MOVIMIENTOS!$A:$A,"&lt;="&amp;EOMONTH(DATE(PORTADA!$B$2,5,1),0),MOVIMIENTOS!$D:$D,$B18)</f>
        <v/>
      </c>
      <c r="E18" s="8">
        <f>C18-D18</f>
        <v/>
      </c>
      <c r="F18" s="9">
        <f>IFERROR(D18/C18,"")</f>
        <v/>
      </c>
      <c r="S18" s="21">
        <f>IF(DAY(DATE(PORTADA!$B$2,5,14))&lt;&gt;14,"",14)</f>
        <v/>
      </c>
      <c r="T18" s="22">
        <f>IF(DAY(DATE(PORTADA!$B$2,5,14))&lt;&gt;14,"",SUMIFS(MOVIMIENTOS!$F:$F,MOVIMIENTOS!$A:$A,DATE(PORTADA!$B$2,5,14),MOVIMIENTOS!$C:$C,T$4))</f>
        <v/>
      </c>
      <c r="U18" s="22">
        <f>IF(DAY(DATE(PORTADA!$B$2,5,14))&lt;&gt;14,"",SUMIFS(MOVIMIENTOS!$F:$F,MOVIMIENTOS!$A:$A,DATE(PORTADA!$B$2,5,14),MOVIMIENTOS!$C:$C,U$4))</f>
        <v/>
      </c>
      <c r="V18" s="22">
        <f>IF(DAY(DATE(PORTADA!$B$2,5,14))&lt;&gt;14,"",SUMIFS(MOVIMIENTOS!$F:$F,MOVIMIENTOS!$A:$A,DATE(PORTADA!$B$2,5,14),MOVIMIENTOS!$C:$C,V$4))</f>
        <v/>
      </c>
      <c r="W18" s="22">
        <f>IF(DAY(DATE(PORTADA!$B$2,5,14))&lt;&gt;14,"",SUMIFS(MOVIMIENTOS!$F:$F,MOVIMIENTOS!$A:$A,DATE(PORTADA!$B$2,5,14),MOVIMIENTOS!$C:$C,W$4))</f>
        <v/>
      </c>
      <c r="X18" s="22">
        <f>IF(DAY(DATE(PORTADA!$B$2,5,14))&lt;&gt;14,"",SUMIFS(MOVIMIENTOS!$F:$F,MOVIMIENTOS!$A:$A,DATE(PORTADA!$B$2,5,14),MOVIMIENTOS!$C:$C,X$4))</f>
        <v/>
      </c>
      <c r="Y18" s="22">
        <f>IF(DAY(DATE(PORTADA!$B$2,5,14))&lt;&gt;14,"",SUMIFS(MOVIMIENTOS!$F:$F,MOVIMIENTOS!$A:$A,DATE(PORTADA!$B$2,5,14),MOVIMIENTOS!$C:$C,Y$4))</f>
        <v/>
      </c>
      <c r="Z18" s="22">
        <f>IF(DAY(DATE(PORTADA!$B$2,5,14))&lt;&gt;14,"",SUMIFS(MOVIMIENTOS!$F:$F,MOVIMIENTOS!$A:$A,DATE(PORTADA!$B$2,5,14),MOVIMIENTOS!$C:$C,Z$4))</f>
        <v/>
      </c>
      <c r="AA18" s="22">
        <f>IF(DAY(DATE(PORTADA!$B$2,5,14))&lt;&gt;14,"",SUM(T18:Z18))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SUMIFS(MOVIMIENTOS!$F:$F,MOVIMIENTOS!$A:$A,"&gt;="&amp;DATE(PORTADA!$B$2,5,1),MOVIMIENTOS!$A:$A,"&lt;="&amp;EOMONTH(DATE(PORTADA!$B$2,5,1),0),MOVIMIENTOS!$D:$D,$B19)</f>
        <v/>
      </c>
      <c r="E19" s="8">
        <f>C19-D19</f>
        <v/>
      </c>
      <c r="F19" s="9">
        <f>IFERROR(D19/C19,"")</f>
        <v/>
      </c>
      <c r="S19" s="21">
        <f>IF(DAY(DATE(PORTADA!$B$2,5,15))&lt;&gt;15,"",15)</f>
        <v/>
      </c>
      <c r="T19" s="22">
        <f>IF(DAY(DATE(PORTADA!$B$2,5,15))&lt;&gt;15,"",SUMIFS(MOVIMIENTOS!$F:$F,MOVIMIENTOS!$A:$A,DATE(PORTADA!$B$2,5,15),MOVIMIENTOS!$C:$C,T$4))</f>
        <v/>
      </c>
      <c r="U19" s="22">
        <f>IF(DAY(DATE(PORTADA!$B$2,5,15))&lt;&gt;15,"",SUMIFS(MOVIMIENTOS!$F:$F,MOVIMIENTOS!$A:$A,DATE(PORTADA!$B$2,5,15),MOVIMIENTOS!$C:$C,U$4))</f>
        <v/>
      </c>
      <c r="V19" s="22">
        <f>IF(DAY(DATE(PORTADA!$B$2,5,15))&lt;&gt;15,"",SUMIFS(MOVIMIENTOS!$F:$F,MOVIMIENTOS!$A:$A,DATE(PORTADA!$B$2,5,15),MOVIMIENTOS!$C:$C,V$4))</f>
        <v/>
      </c>
      <c r="W19" s="22">
        <f>IF(DAY(DATE(PORTADA!$B$2,5,15))&lt;&gt;15,"",SUMIFS(MOVIMIENTOS!$F:$F,MOVIMIENTOS!$A:$A,DATE(PORTADA!$B$2,5,15),MOVIMIENTOS!$C:$C,W$4))</f>
        <v/>
      </c>
      <c r="X19" s="22">
        <f>IF(DAY(DATE(PORTADA!$B$2,5,15))&lt;&gt;15,"",SUMIFS(MOVIMIENTOS!$F:$F,MOVIMIENTOS!$A:$A,DATE(PORTADA!$B$2,5,15),MOVIMIENTOS!$C:$C,X$4))</f>
        <v/>
      </c>
      <c r="Y19" s="22">
        <f>IF(DAY(DATE(PORTADA!$B$2,5,15))&lt;&gt;15,"",SUMIFS(MOVIMIENTOS!$F:$F,MOVIMIENTOS!$A:$A,DATE(PORTADA!$B$2,5,15),MOVIMIENTOS!$C:$C,Y$4))</f>
        <v/>
      </c>
      <c r="Z19" s="22">
        <f>IF(DAY(DATE(PORTADA!$B$2,5,15))&lt;&gt;15,"",SUMIFS(MOVIMIENTOS!$F:$F,MOVIMIENTOS!$A:$A,DATE(PORTADA!$B$2,5,15),MOVIMIENTOS!$C:$C,Z$4))</f>
        <v/>
      </c>
      <c r="AA19" s="22">
        <f>IF(DAY(DATE(PORTADA!$B$2,5,15))&lt;&gt;15,"",SUM(T19:Z19))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SUMIFS(MOVIMIENTOS!$F:$F,MOVIMIENTOS!$A:$A,"&gt;="&amp;DATE(PORTADA!$B$2,5,1),MOVIMIENTOS!$A:$A,"&lt;="&amp;EOMONTH(DATE(PORTADA!$B$2,5,1),0),MOVIMIENTOS!$D:$D,$B20)</f>
        <v/>
      </c>
      <c r="E20" s="8">
        <f>C20-D20</f>
        <v/>
      </c>
      <c r="F20" s="9">
        <f>IFERROR(D20/C20,"")</f>
        <v/>
      </c>
      <c r="S20" s="21">
        <f>IF(DAY(DATE(PORTADA!$B$2,5,16))&lt;&gt;16,"",16)</f>
        <v/>
      </c>
      <c r="T20" s="22">
        <f>IF(DAY(DATE(PORTADA!$B$2,5,16))&lt;&gt;16,"",SUMIFS(MOVIMIENTOS!$F:$F,MOVIMIENTOS!$A:$A,DATE(PORTADA!$B$2,5,16),MOVIMIENTOS!$C:$C,T$4))</f>
        <v/>
      </c>
      <c r="U20" s="22">
        <f>IF(DAY(DATE(PORTADA!$B$2,5,16))&lt;&gt;16,"",SUMIFS(MOVIMIENTOS!$F:$F,MOVIMIENTOS!$A:$A,DATE(PORTADA!$B$2,5,16),MOVIMIENTOS!$C:$C,U$4))</f>
        <v/>
      </c>
      <c r="V20" s="22">
        <f>IF(DAY(DATE(PORTADA!$B$2,5,16))&lt;&gt;16,"",SUMIFS(MOVIMIENTOS!$F:$F,MOVIMIENTOS!$A:$A,DATE(PORTADA!$B$2,5,16),MOVIMIENTOS!$C:$C,V$4))</f>
        <v/>
      </c>
      <c r="W20" s="22">
        <f>IF(DAY(DATE(PORTADA!$B$2,5,16))&lt;&gt;16,"",SUMIFS(MOVIMIENTOS!$F:$F,MOVIMIENTOS!$A:$A,DATE(PORTADA!$B$2,5,16),MOVIMIENTOS!$C:$C,W$4))</f>
        <v/>
      </c>
      <c r="X20" s="22">
        <f>IF(DAY(DATE(PORTADA!$B$2,5,16))&lt;&gt;16,"",SUMIFS(MOVIMIENTOS!$F:$F,MOVIMIENTOS!$A:$A,DATE(PORTADA!$B$2,5,16),MOVIMIENTOS!$C:$C,X$4))</f>
        <v/>
      </c>
      <c r="Y20" s="22">
        <f>IF(DAY(DATE(PORTADA!$B$2,5,16))&lt;&gt;16,"",SUMIFS(MOVIMIENTOS!$F:$F,MOVIMIENTOS!$A:$A,DATE(PORTADA!$B$2,5,16),MOVIMIENTOS!$C:$C,Y$4))</f>
        <v/>
      </c>
      <c r="Z20" s="22">
        <f>IF(DAY(DATE(PORTADA!$B$2,5,16))&lt;&gt;16,"",SUMIFS(MOVIMIENTOS!$F:$F,MOVIMIENTOS!$A:$A,DATE(PORTADA!$B$2,5,16),MOVIMIENTOS!$C:$C,Z$4))</f>
        <v/>
      </c>
      <c r="AA20" s="22">
        <f>IF(DAY(DATE(PORTADA!$B$2,5,16))&lt;&gt;16,"",SUM(T20:Z20))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SUMIFS(MOVIMIENTOS!$F:$F,MOVIMIENTOS!$A:$A,"&gt;="&amp;DATE(PORTADA!$B$2,5,1),MOVIMIENTOS!$A:$A,"&lt;="&amp;EOMONTH(DATE(PORTADA!$B$2,5,1),0),MOVIMIENTOS!$D:$D,$B21)</f>
        <v/>
      </c>
      <c r="E21" s="8">
        <f>C21-D21</f>
        <v/>
      </c>
      <c r="F21" s="9">
        <f>IFERROR(D21/C21,"")</f>
        <v/>
      </c>
      <c r="S21" s="21">
        <f>IF(DAY(DATE(PORTADA!$B$2,5,17))&lt;&gt;17,"",17)</f>
        <v/>
      </c>
      <c r="T21" s="22">
        <f>IF(DAY(DATE(PORTADA!$B$2,5,17))&lt;&gt;17,"",SUMIFS(MOVIMIENTOS!$F:$F,MOVIMIENTOS!$A:$A,DATE(PORTADA!$B$2,5,17),MOVIMIENTOS!$C:$C,T$4))</f>
        <v/>
      </c>
      <c r="U21" s="22">
        <f>IF(DAY(DATE(PORTADA!$B$2,5,17))&lt;&gt;17,"",SUMIFS(MOVIMIENTOS!$F:$F,MOVIMIENTOS!$A:$A,DATE(PORTADA!$B$2,5,17),MOVIMIENTOS!$C:$C,U$4))</f>
        <v/>
      </c>
      <c r="V21" s="22">
        <f>IF(DAY(DATE(PORTADA!$B$2,5,17))&lt;&gt;17,"",SUMIFS(MOVIMIENTOS!$F:$F,MOVIMIENTOS!$A:$A,DATE(PORTADA!$B$2,5,17),MOVIMIENTOS!$C:$C,V$4))</f>
        <v/>
      </c>
      <c r="W21" s="22">
        <f>IF(DAY(DATE(PORTADA!$B$2,5,17))&lt;&gt;17,"",SUMIFS(MOVIMIENTOS!$F:$F,MOVIMIENTOS!$A:$A,DATE(PORTADA!$B$2,5,17),MOVIMIENTOS!$C:$C,W$4))</f>
        <v/>
      </c>
      <c r="X21" s="22">
        <f>IF(DAY(DATE(PORTADA!$B$2,5,17))&lt;&gt;17,"",SUMIFS(MOVIMIENTOS!$F:$F,MOVIMIENTOS!$A:$A,DATE(PORTADA!$B$2,5,17),MOVIMIENTOS!$C:$C,X$4))</f>
        <v/>
      </c>
      <c r="Y21" s="22">
        <f>IF(DAY(DATE(PORTADA!$B$2,5,17))&lt;&gt;17,"",SUMIFS(MOVIMIENTOS!$F:$F,MOVIMIENTOS!$A:$A,DATE(PORTADA!$B$2,5,17),MOVIMIENTOS!$C:$C,Y$4))</f>
        <v/>
      </c>
      <c r="Z21" s="22">
        <f>IF(DAY(DATE(PORTADA!$B$2,5,17))&lt;&gt;17,"",SUMIFS(MOVIMIENTOS!$F:$F,MOVIMIENTOS!$A:$A,DATE(PORTADA!$B$2,5,17),MOVIMIENTOS!$C:$C,Z$4))</f>
        <v/>
      </c>
      <c r="AA21" s="22">
        <f>IF(DAY(DATE(PORTADA!$B$2,5,17))&lt;&gt;17,"",SUM(T21:Z21))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SUMIFS(MOVIMIENTOS!$F:$F,MOVIMIENTOS!$A:$A,"&gt;="&amp;DATE(PORTADA!$B$2,5,1),MOVIMIENTOS!$A:$A,"&lt;="&amp;EOMONTH(DATE(PORTADA!$B$2,5,1),0),MOVIMIENTOS!$D:$D,$B22)</f>
        <v/>
      </c>
      <c r="E22" s="8">
        <f>C22-D22</f>
        <v/>
      </c>
      <c r="F22" s="9">
        <f>IFERROR(D22/C22,"")</f>
        <v/>
      </c>
      <c r="S22" s="21">
        <f>IF(DAY(DATE(PORTADA!$B$2,5,18))&lt;&gt;18,"",18)</f>
        <v/>
      </c>
      <c r="T22" s="22">
        <f>IF(DAY(DATE(PORTADA!$B$2,5,18))&lt;&gt;18,"",SUMIFS(MOVIMIENTOS!$F:$F,MOVIMIENTOS!$A:$A,DATE(PORTADA!$B$2,5,18),MOVIMIENTOS!$C:$C,T$4))</f>
        <v/>
      </c>
      <c r="U22" s="22">
        <f>IF(DAY(DATE(PORTADA!$B$2,5,18))&lt;&gt;18,"",SUMIFS(MOVIMIENTOS!$F:$F,MOVIMIENTOS!$A:$A,DATE(PORTADA!$B$2,5,18),MOVIMIENTOS!$C:$C,U$4))</f>
        <v/>
      </c>
      <c r="V22" s="22">
        <f>IF(DAY(DATE(PORTADA!$B$2,5,18))&lt;&gt;18,"",SUMIFS(MOVIMIENTOS!$F:$F,MOVIMIENTOS!$A:$A,DATE(PORTADA!$B$2,5,18),MOVIMIENTOS!$C:$C,V$4))</f>
        <v/>
      </c>
      <c r="W22" s="22">
        <f>IF(DAY(DATE(PORTADA!$B$2,5,18))&lt;&gt;18,"",SUMIFS(MOVIMIENTOS!$F:$F,MOVIMIENTOS!$A:$A,DATE(PORTADA!$B$2,5,18),MOVIMIENTOS!$C:$C,W$4))</f>
        <v/>
      </c>
      <c r="X22" s="22">
        <f>IF(DAY(DATE(PORTADA!$B$2,5,18))&lt;&gt;18,"",SUMIFS(MOVIMIENTOS!$F:$F,MOVIMIENTOS!$A:$A,DATE(PORTADA!$B$2,5,18),MOVIMIENTOS!$C:$C,X$4))</f>
        <v/>
      </c>
      <c r="Y22" s="22">
        <f>IF(DAY(DATE(PORTADA!$B$2,5,18))&lt;&gt;18,"",SUMIFS(MOVIMIENTOS!$F:$F,MOVIMIENTOS!$A:$A,DATE(PORTADA!$B$2,5,18),MOVIMIENTOS!$C:$C,Y$4))</f>
        <v/>
      </c>
      <c r="Z22" s="22">
        <f>IF(DAY(DATE(PORTADA!$B$2,5,18))&lt;&gt;18,"",SUMIFS(MOVIMIENTOS!$F:$F,MOVIMIENTOS!$A:$A,DATE(PORTADA!$B$2,5,18),MOVIMIENTOS!$C:$C,Z$4))</f>
        <v/>
      </c>
      <c r="AA22" s="22">
        <f>IF(DAY(DATE(PORTADA!$B$2,5,18))&lt;&gt;18,"",SUM(T22:Z22))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SUMIFS(MOVIMIENTOS!$F:$F,MOVIMIENTOS!$A:$A,"&gt;="&amp;DATE(PORTADA!$B$2,5,1),MOVIMIENTOS!$A:$A,"&lt;="&amp;EOMONTH(DATE(PORTADA!$B$2,5,1),0),MOVIMIENTOS!$D:$D,$B23)</f>
        <v/>
      </c>
      <c r="E23" s="8">
        <f>C23-D23</f>
        <v/>
      </c>
      <c r="F23" s="9">
        <f>IFERROR(D23/C23,"")</f>
        <v/>
      </c>
      <c r="S23" s="21">
        <f>IF(DAY(DATE(PORTADA!$B$2,5,19))&lt;&gt;19,"",19)</f>
        <v/>
      </c>
      <c r="T23" s="22">
        <f>IF(DAY(DATE(PORTADA!$B$2,5,19))&lt;&gt;19,"",SUMIFS(MOVIMIENTOS!$F:$F,MOVIMIENTOS!$A:$A,DATE(PORTADA!$B$2,5,19),MOVIMIENTOS!$C:$C,T$4))</f>
        <v/>
      </c>
      <c r="U23" s="22">
        <f>IF(DAY(DATE(PORTADA!$B$2,5,19))&lt;&gt;19,"",SUMIFS(MOVIMIENTOS!$F:$F,MOVIMIENTOS!$A:$A,DATE(PORTADA!$B$2,5,19),MOVIMIENTOS!$C:$C,U$4))</f>
        <v/>
      </c>
      <c r="V23" s="22">
        <f>IF(DAY(DATE(PORTADA!$B$2,5,19))&lt;&gt;19,"",SUMIFS(MOVIMIENTOS!$F:$F,MOVIMIENTOS!$A:$A,DATE(PORTADA!$B$2,5,19),MOVIMIENTOS!$C:$C,V$4))</f>
        <v/>
      </c>
      <c r="W23" s="22">
        <f>IF(DAY(DATE(PORTADA!$B$2,5,19))&lt;&gt;19,"",SUMIFS(MOVIMIENTOS!$F:$F,MOVIMIENTOS!$A:$A,DATE(PORTADA!$B$2,5,19),MOVIMIENTOS!$C:$C,W$4))</f>
        <v/>
      </c>
      <c r="X23" s="22">
        <f>IF(DAY(DATE(PORTADA!$B$2,5,19))&lt;&gt;19,"",SUMIFS(MOVIMIENTOS!$F:$F,MOVIMIENTOS!$A:$A,DATE(PORTADA!$B$2,5,19),MOVIMIENTOS!$C:$C,X$4))</f>
        <v/>
      </c>
      <c r="Y23" s="22">
        <f>IF(DAY(DATE(PORTADA!$B$2,5,19))&lt;&gt;19,"",SUMIFS(MOVIMIENTOS!$F:$F,MOVIMIENTOS!$A:$A,DATE(PORTADA!$B$2,5,19),MOVIMIENTOS!$C:$C,Y$4))</f>
        <v/>
      </c>
      <c r="Z23" s="22">
        <f>IF(DAY(DATE(PORTADA!$B$2,5,19))&lt;&gt;19,"",SUMIFS(MOVIMIENTOS!$F:$F,MOVIMIENTOS!$A:$A,DATE(PORTADA!$B$2,5,19),MOVIMIENTOS!$C:$C,Z$4))</f>
        <v/>
      </c>
      <c r="AA23" s="22">
        <f>IF(DAY(DATE(PORTADA!$B$2,5,19))&lt;&gt;19,"",SUM(T23:Z23))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SUMIFS(MOVIMIENTOS!$F:$F,MOVIMIENTOS!$A:$A,"&gt;="&amp;DATE(PORTADA!$B$2,5,1),MOVIMIENTOS!$A:$A,"&lt;="&amp;EOMONTH(DATE(PORTADA!$B$2,5,1),0),MOVIMIENTOS!$D:$D,$B24)</f>
        <v/>
      </c>
      <c r="E24" s="8">
        <f>C24-D24</f>
        <v/>
      </c>
      <c r="F24" s="9">
        <f>IFERROR(D24/C24,"")</f>
        <v/>
      </c>
      <c r="S24" s="21">
        <f>IF(DAY(DATE(PORTADA!$B$2,5,20))&lt;&gt;20,"",20)</f>
        <v/>
      </c>
      <c r="T24" s="22">
        <f>IF(DAY(DATE(PORTADA!$B$2,5,20))&lt;&gt;20,"",SUMIFS(MOVIMIENTOS!$F:$F,MOVIMIENTOS!$A:$A,DATE(PORTADA!$B$2,5,20),MOVIMIENTOS!$C:$C,T$4))</f>
        <v/>
      </c>
      <c r="U24" s="22">
        <f>IF(DAY(DATE(PORTADA!$B$2,5,20))&lt;&gt;20,"",SUMIFS(MOVIMIENTOS!$F:$F,MOVIMIENTOS!$A:$A,DATE(PORTADA!$B$2,5,20),MOVIMIENTOS!$C:$C,U$4))</f>
        <v/>
      </c>
      <c r="V24" s="22">
        <f>IF(DAY(DATE(PORTADA!$B$2,5,20))&lt;&gt;20,"",SUMIFS(MOVIMIENTOS!$F:$F,MOVIMIENTOS!$A:$A,DATE(PORTADA!$B$2,5,20),MOVIMIENTOS!$C:$C,V$4))</f>
        <v/>
      </c>
      <c r="W24" s="22">
        <f>IF(DAY(DATE(PORTADA!$B$2,5,20))&lt;&gt;20,"",SUMIFS(MOVIMIENTOS!$F:$F,MOVIMIENTOS!$A:$A,DATE(PORTADA!$B$2,5,20),MOVIMIENTOS!$C:$C,W$4))</f>
        <v/>
      </c>
      <c r="X24" s="22">
        <f>IF(DAY(DATE(PORTADA!$B$2,5,20))&lt;&gt;20,"",SUMIFS(MOVIMIENTOS!$F:$F,MOVIMIENTOS!$A:$A,DATE(PORTADA!$B$2,5,20),MOVIMIENTOS!$C:$C,X$4))</f>
        <v/>
      </c>
      <c r="Y24" s="22">
        <f>IF(DAY(DATE(PORTADA!$B$2,5,20))&lt;&gt;20,"",SUMIFS(MOVIMIENTOS!$F:$F,MOVIMIENTOS!$A:$A,DATE(PORTADA!$B$2,5,20),MOVIMIENTOS!$C:$C,Y$4))</f>
        <v/>
      </c>
      <c r="Z24" s="22">
        <f>IF(DAY(DATE(PORTADA!$B$2,5,20))&lt;&gt;20,"",SUMIFS(MOVIMIENTOS!$F:$F,MOVIMIENTOS!$A:$A,DATE(PORTADA!$B$2,5,20),MOVIMIENTOS!$C:$C,Z$4))</f>
        <v/>
      </c>
      <c r="AA24" s="22">
        <f>IF(DAY(DATE(PORTADA!$B$2,5,20))&lt;&gt;20,"",SUM(T24:Z24))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SUMIFS(MOVIMIENTOS!$F:$F,MOVIMIENTOS!$A:$A,"&gt;="&amp;DATE(PORTADA!$B$2,5,1),MOVIMIENTOS!$A:$A,"&lt;="&amp;EOMONTH(DATE(PORTADA!$B$2,5,1),0),MOVIMIENTOS!$D:$D,$B25)</f>
        <v/>
      </c>
      <c r="E25" s="8">
        <f>C25-D25</f>
        <v/>
      </c>
      <c r="F25" s="9">
        <f>IFERROR(D25/C25,"")</f>
        <v/>
      </c>
      <c r="S25" s="21">
        <f>IF(DAY(DATE(PORTADA!$B$2,5,21))&lt;&gt;21,"",21)</f>
        <v/>
      </c>
      <c r="T25" s="22">
        <f>IF(DAY(DATE(PORTADA!$B$2,5,21))&lt;&gt;21,"",SUMIFS(MOVIMIENTOS!$F:$F,MOVIMIENTOS!$A:$A,DATE(PORTADA!$B$2,5,21),MOVIMIENTOS!$C:$C,T$4))</f>
        <v/>
      </c>
      <c r="U25" s="22">
        <f>IF(DAY(DATE(PORTADA!$B$2,5,21))&lt;&gt;21,"",SUMIFS(MOVIMIENTOS!$F:$F,MOVIMIENTOS!$A:$A,DATE(PORTADA!$B$2,5,21),MOVIMIENTOS!$C:$C,U$4))</f>
        <v/>
      </c>
      <c r="V25" s="22">
        <f>IF(DAY(DATE(PORTADA!$B$2,5,21))&lt;&gt;21,"",SUMIFS(MOVIMIENTOS!$F:$F,MOVIMIENTOS!$A:$A,DATE(PORTADA!$B$2,5,21),MOVIMIENTOS!$C:$C,V$4))</f>
        <v/>
      </c>
      <c r="W25" s="22">
        <f>IF(DAY(DATE(PORTADA!$B$2,5,21))&lt;&gt;21,"",SUMIFS(MOVIMIENTOS!$F:$F,MOVIMIENTOS!$A:$A,DATE(PORTADA!$B$2,5,21),MOVIMIENTOS!$C:$C,W$4))</f>
        <v/>
      </c>
      <c r="X25" s="22">
        <f>IF(DAY(DATE(PORTADA!$B$2,5,21))&lt;&gt;21,"",SUMIFS(MOVIMIENTOS!$F:$F,MOVIMIENTOS!$A:$A,DATE(PORTADA!$B$2,5,21),MOVIMIENTOS!$C:$C,X$4))</f>
        <v/>
      </c>
      <c r="Y25" s="22">
        <f>IF(DAY(DATE(PORTADA!$B$2,5,21))&lt;&gt;21,"",SUMIFS(MOVIMIENTOS!$F:$F,MOVIMIENTOS!$A:$A,DATE(PORTADA!$B$2,5,21),MOVIMIENTOS!$C:$C,Y$4))</f>
        <v/>
      </c>
      <c r="Z25" s="22">
        <f>IF(DAY(DATE(PORTADA!$B$2,5,21))&lt;&gt;21,"",SUMIFS(MOVIMIENTOS!$F:$F,MOVIMIENTOS!$A:$A,DATE(PORTADA!$B$2,5,21),MOVIMIENTOS!$C:$C,Z$4))</f>
        <v/>
      </c>
      <c r="AA25" s="22">
        <f>IF(DAY(DATE(PORTADA!$B$2,5,21))&lt;&gt;21,"",SUM(T25:Z25))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SUMIFS(MOVIMIENTOS!$F:$F,MOVIMIENTOS!$A:$A,"&gt;="&amp;DATE(PORTADA!$B$2,5,1),MOVIMIENTOS!$A:$A,"&lt;="&amp;EOMONTH(DATE(PORTADA!$B$2,5,1),0),MOVIMIENTOS!$D:$D,$B26)</f>
        <v/>
      </c>
      <c r="E26" s="8">
        <f>C26-D26</f>
        <v/>
      </c>
      <c r="F26" s="9">
        <f>IFERROR(D26/C26,"")</f>
        <v/>
      </c>
      <c r="S26" s="21">
        <f>IF(DAY(DATE(PORTADA!$B$2,5,22))&lt;&gt;22,"",22)</f>
        <v/>
      </c>
      <c r="T26" s="22">
        <f>IF(DAY(DATE(PORTADA!$B$2,5,22))&lt;&gt;22,"",SUMIFS(MOVIMIENTOS!$F:$F,MOVIMIENTOS!$A:$A,DATE(PORTADA!$B$2,5,22),MOVIMIENTOS!$C:$C,T$4))</f>
        <v/>
      </c>
      <c r="U26" s="22">
        <f>IF(DAY(DATE(PORTADA!$B$2,5,22))&lt;&gt;22,"",SUMIFS(MOVIMIENTOS!$F:$F,MOVIMIENTOS!$A:$A,DATE(PORTADA!$B$2,5,22),MOVIMIENTOS!$C:$C,U$4))</f>
        <v/>
      </c>
      <c r="V26" s="22">
        <f>IF(DAY(DATE(PORTADA!$B$2,5,22))&lt;&gt;22,"",SUMIFS(MOVIMIENTOS!$F:$F,MOVIMIENTOS!$A:$A,DATE(PORTADA!$B$2,5,22),MOVIMIENTOS!$C:$C,V$4))</f>
        <v/>
      </c>
      <c r="W26" s="22">
        <f>IF(DAY(DATE(PORTADA!$B$2,5,22))&lt;&gt;22,"",SUMIFS(MOVIMIENTOS!$F:$F,MOVIMIENTOS!$A:$A,DATE(PORTADA!$B$2,5,22),MOVIMIENTOS!$C:$C,W$4))</f>
        <v/>
      </c>
      <c r="X26" s="22">
        <f>IF(DAY(DATE(PORTADA!$B$2,5,22))&lt;&gt;22,"",SUMIFS(MOVIMIENTOS!$F:$F,MOVIMIENTOS!$A:$A,DATE(PORTADA!$B$2,5,22),MOVIMIENTOS!$C:$C,X$4))</f>
        <v/>
      </c>
      <c r="Y26" s="22">
        <f>IF(DAY(DATE(PORTADA!$B$2,5,22))&lt;&gt;22,"",SUMIFS(MOVIMIENTOS!$F:$F,MOVIMIENTOS!$A:$A,DATE(PORTADA!$B$2,5,22),MOVIMIENTOS!$C:$C,Y$4))</f>
        <v/>
      </c>
      <c r="Z26" s="22">
        <f>IF(DAY(DATE(PORTADA!$B$2,5,22))&lt;&gt;22,"",SUMIFS(MOVIMIENTOS!$F:$F,MOVIMIENTOS!$A:$A,DATE(PORTADA!$B$2,5,22),MOVIMIENTOS!$C:$C,Z$4))</f>
        <v/>
      </c>
      <c r="AA26" s="22">
        <f>IF(DAY(DATE(PORTADA!$B$2,5,22))&lt;&gt;22,"",SUM(T26:Z26))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SUMIFS(MOVIMIENTOS!$F:$F,MOVIMIENTOS!$A:$A,"&gt;="&amp;DATE(PORTADA!$B$2,5,1),MOVIMIENTOS!$A:$A,"&lt;="&amp;EOMONTH(DATE(PORTADA!$B$2,5,1),0),MOVIMIENTOS!$D:$D,$B27)</f>
        <v/>
      </c>
      <c r="E27" s="8">
        <f>C27-D27</f>
        <v/>
      </c>
      <c r="F27" s="9">
        <f>IFERROR(D27/C27,"")</f>
        <v/>
      </c>
      <c r="S27" s="21">
        <f>IF(DAY(DATE(PORTADA!$B$2,5,23))&lt;&gt;23,"",23)</f>
        <v/>
      </c>
      <c r="T27" s="22">
        <f>IF(DAY(DATE(PORTADA!$B$2,5,23))&lt;&gt;23,"",SUMIFS(MOVIMIENTOS!$F:$F,MOVIMIENTOS!$A:$A,DATE(PORTADA!$B$2,5,23),MOVIMIENTOS!$C:$C,T$4))</f>
        <v/>
      </c>
      <c r="U27" s="22">
        <f>IF(DAY(DATE(PORTADA!$B$2,5,23))&lt;&gt;23,"",SUMIFS(MOVIMIENTOS!$F:$F,MOVIMIENTOS!$A:$A,DATE(PORTADA!$B$2,5,23),MOVIMIENTOS!$C:$C,U$4))</f>
        <v/>
      </c>
      <c r="V27" s="22">
        <f>IF(DAY(DATE(PORTADA!$B$2,5,23))&lt;&gt;23,"",SUMIFS(MOVIMIENTOS!$F:$F,MOVIMIENTOS!$A:$A,DATE(PORTADA!$B$2,5,23),MOVIMIENTOS!$C:$C,V$4))</f>
        <v/>
      </c>
      <c r="W27" s="22">
        <f>IF(DAY(DATE(PORTADA!$B$2,5,23))&lt;&gt;23,"",SUMIFS(MOVIMIENTOS!$F:$F,MOVIMIENTOS!$A:$A,DATE(PORTADA!$B$2,5,23),MOVIMIENTOS!$C:$C,W$4))</f>
        <v/>
      </c>
      <c r="X27" s="22">
        <f>IF(DAY(DATE(PORTADA!$B$2,5,23))&lt;&gt;23,"",SUMIFS(MOVIMIENTOS!$F:$F,MOVIMIENTOS!$A:$A,DATE(PORTADA!$B$2,5,23),MOVIMIENTOS!$C:$C,X$4))</f>
        <v/>
      </c>
      <c r="Y27" s="22">
        <f>IF(DAY(DATE(PORTADA!$B$2,5,23))&lt;&gt;23,"",SUMIFS(MOVIMIENTOS!$F:$F,MOVIMIENTOS!$A:$A,DATE(PORTADA!$B$2,5,23),MOVIMIENTOS!$C:$C,Y$4))</f>
        <v/>
      </c>
      <c r="Z27" s="22">
        <f>IF(DAY(DATE(PORTADA!$B$2,5,23))&lt;&gt;23,"",SUMIFS(MOVIMIENTOS!$F:$F,MOVIMIENTOS!$A:$A,DATE(PORTADA!$B$2,5,23),MOVIMIENTOS!$C:$C,Z$4))</f>
        <v/>
      </c>
      <c r="AA27" s="22">
        <f>IF(DAY(DATE(PORTADA!$B$2,5,23))&lt;&gt;23,"",SUM(T27:Z27))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SUMIFS(MOVIMIENTOS!$F:$F,MOVIMIENTOS!$A:$A,"&gt;="&amp;DATE(PORTADA!$B$2,5,1),MOVIMIENTOS!$A:$A,"&lt;="&amp;EOMONTH(DATE(PORTADA!$B$2,5,1),0),MOVIMIENTOS!$D:$D,$B28)</f>
        <v/>
      </c>
      <c r="E28" s="8">
        <f>C28-D28</f>
        <v/>
      </c>
      <c r="F28" s="9">
        <f>IFERROR(D28/C28,"")</f>
        <v/>
      </c>
      <c r="S28" s="21">
        <f>IF(DAY(DATE(PORTADA!$B$2,5,24))&lt;&gt;24,"",24)</f>
        <v/>
      </c>
      <c r="T28" s="22">
        <f>IF(DAY(DATE(PORTADA!$B$2,5,24))&lt;&gt;24,"",SUMIFS(MOVIMIENTOS!$F:$F,MOVIMIENTOS!$A:$A,DATE(PORTADA!$B$2,5,24),MOVIMIENTOS!$C:$C,T$4))</f>
        <v/>
      </c>
      <c r="U28" s="22">
        <f>IF(DAY(DATE(PORTADA!$B$2,5,24))&lt;&gt;24,"",SUMIFS(MOVIMIENTOS!$F:$F,MOVIMIENTOS!$A:$A,DATE(PORTADA!$B$2,5,24),MOVIMIENTOS!$C:$C,U$4))</f>
        <v/>
      </c>
      <c r="V28" s="22">
        <f>IF(DAY(DATE(PORTADA!$B$2,5,24))&lt;&gt;24,"",SUMIFS(MOVIMIENTOS!$F:$F,MOVIMIENTOS!$A:$A,DATE(PORTADA!$B$2,5,24),MOVIMIENTOS!$C:$C,V$4))</f>
        <v/>
      </c>
      <c r="W28" s="22">
        <f>IF(DAY(DATE(PORTADA!$B$2,5,24))&lt;&gt;24,"",SUMIFS(MOVIMIENTOS!$F:$F,MOVIMIENTOS!$A:$A,DATE(PORTADA!$B$2,5,24),MOVIMIENTOS!$C:$C,W$4))</f>
        <v/>
      </c>
      <c r="X28" s="22">
        <f>IF(DAY(DATE(PORTADA!$B$2,5,24))&lt;&gt;24,"",SUMIFS(MOVIMIENTOS!$F:$F,MOVIMIENTOS!$A:$A,DATE(PORTADA!$B$2,5,24),MOVIMIENTOS!$C:$C,X$4))</f>
        <v/>
      </c>
      <c r="Y28" s="22">
        <f>IF(DAY(DATE(PORTADA!$B$2,5,24))&lt;&gt;24,"",SUMIFS(MOVIMIENTOS!$F:$F,MOVIMIENTOS!$A:$A,DATE(PORTADA!$B$2,5,24),MOVIMIENTOS!$C:$C,Y$4))</f>
        <v/>
      </c>
      <c r="Z28" s="22">
        <f>IF(DAY(DATE(PORTADA!$B$2,5,24))&lt;&gt;24,"",SUMIFS(MOVIMIENTOS!$F:$F,MOVIMIENTOS!$A:$A,DATE(PORTADA!$B$2,5,24),MOVIMIENTOS!$C:$C,Z$4))</f>
        <v/>
      </c>
      <c r="AA28" s="22">
        <f>IF(DAY(DATE(PORTADA!$B$2,5,24))&lt;&gt;24,"",SUM(T28:Z28))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SUMIFS(MOVIMIENTOS!$F:$F,MOVIMIENTOS!$A:$A,"&gt;="&amp;DATE(PORTADA!$B$2,5,1),MOVIMIENTOS!$A:$A,"&lt;="&amp;EOMONTH(DATE(PORTADA!$B$2,5,1),0),MOVIMIENTOS!$D:$D,$B29)</f>
        <v/>
      </c>
      <c r="E29" s="8">
        <f>C29-D29</f>
        <v/>
      </c>
      <c r="F29" s="9">
        <f>IFERROR(D29/C29,"")</f>
        <v/>
      </c>
      <c r="S29" s="21">
        <f>IF(DAY(DATE(PORTADA!$B$2,5,25))&lt;&gt;25,"",25)</f>
        <v/>
      </c>
      <c r="T29" s="22">
        <f>IF(DAY(DATE(PORTADA!$B$2,5,25))&lt;&gt;25,"",SUMIFS(MOVIMIENTOS!$F:$F,MOVIMIENTOS!$A:$A,DATE(PORTADA!$B$2,5,25),MOVIMIENTOS!$C:$C,T$4))</f>
        <v/>
      </c>
      <c r="U29" s="22">
        <f>IF(DAY(DATE(PORTADA!$B$2,5,25))&lt;&gt;25,"",SUMIFS(MOVIMIENTOS!$F:$F,MOVIMIENTOS!$A:$A,DATE(PORTADA!$B$2,5,25),MOVIMIENTOS!$C:$C,U$4))</f>
        <v/>
      </c>
      <c r="V29" s="22">
        <f>IF(DAY(DATE(PORTADA!$B$2,5,25))&lt;&gt;25,"",SUMIFS(MOVIMIENTOS!$F:$F,MOVIMIENTOS!$A:$A,DATE(PORTADA!$B$2,5,25),MOVIMIENTOS!$C:$C,V$4))</f>
        <v/>
      </c>
      <c r="W29" s="22">
        <f>IF(DAY(DATE(PORTADA!$B$2,5,25))&lt;&gt;25,"",SUMIFS(MOVIMIENTOS!$F:$F,MOVIMIENTOS!$A:$A,DATE(PORTADA!$B$2,5,25),MOVIMIENTOS!$C:$C,W$4))</f>
        <v/>
      </c>
      <c r="X29" s="22">
        <f>IF(DAY(DATE(PORTADA!$B$2,5,25))&lt;&gt;25,"",SUMIFS(MOVIMIENTOS!$F:$F,MOVIMIENTOS!$A:$A,DATE(PORTADA!$B$2,5,25),MOVIMIENTOS!$C:$C,X$4))</f>
        <v/>
      </c>
      <c r="Y29" s="22">
        <f>IF(DAY(DATE(PORTADA!$B$2,5,25))&lt;&gt;25,"",SUMIFS(MOVIMIENTOS!$F:$F,MOVIMIENTOS!$A:$A,DATE(PORTADA!$B$2,5,25),MOVIMIENTOS!$C:$C,Y$4))</f>
        <v/>
      </c>
      <c r="Z29" s="22">
        <f>IF(DAY(DATE(PORTADA!$B$2,5,25))&lt;&gt;25,"",SUMIFS(MOVIMIENTOS!$F:$F,MOVIMIENTOS!$A:$A,DATE(PORTADA!$B$2,5,25),MOVIMIENTOS!$C:$C,Z$4))</f>
        <v/>
      </c>
      <c r="AA29" s="22">
        <f>IF(DAY(DATE(PORTADA!$B$2,5,25))&lt;&gt;25,"",SUM(T29:Z29))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SUMIFS(MOVIMIENTOS!$F:$F,MOVIMIENTOS!$A:$A,"&gt;="&amp;DATE(PORTADA!$B$2,5,1),MOVIMIENTOS!$A:$A,"&lt;="&amp;EOMONTH(DATE(PORTADA!$B$2,5,1),0),MOVIMIENTOS!$D:$D,$B30)</f>
        <v/>
      </c>
      <c r="E30" s="8">
        <f>C30-D30</f>
        <v/>
      </c>
      <c r="F30" s="9">
        <f>IFERROR(D30/C30,"")</f>
        <v/>
      </c>
      <c r="S30" s="21">
        <f>IF(DAY(DATE(PORTADA!$B$2,5,26))&lt;&gt;26,"",26)</f>
        <v/>
      </c>
      <c r="T30" s="22">
        <f>IF(DAY(DATE(PORTADA!$B$2,5,26))&lt;&gt;26,"",SUMIFS(MOVIMIENTOS!$F:$F,MOVIMIENTOS!$A:$A,DATE(PORTADA!$B$2,5,26),MOVIMIENTOS!$C:$C,T$4))</f>
        <v/>
      </c>
      <c r="U30" s="22">
        <f>IF(DAY(DATE(PORTADA!$B$2,5,26))&lt;&gt;26,"",SUMIFS(MOVIMIENTOS!$F:$F,MOVIMIENTOS!$A:$A,DATE(PORTADA!$B$2,5,26),MOVIMIENTOS!$C:$C,U$4))</f>
        <v/>
      </c>
      <c r="V30" s="22">
        <f>IF(DAY(DATE(PORTADA!$B$2,5,26))&lt;&gt;26,"",SUMIFS(MOVIMIENTOS!$F:$F,MOVIMIENTOS!$A:$A,DATE(PORTADA!$B$2,5,26),MOVIMIENTOS!$C:$C,V$4))</f>
        <v/>
      </c>
      <c r="W30" s="22">
        <f>IF(DAY(DATE(PORTADA!$B$2,5,26))&lt;&gt;26,"",SUMIFS(MOVIMIENTOS!$F:$F,MOVIMIENTOS!$A:$A,DATE(PORTADA!$B$2,5,26),MOVIMIENTOS!$C:$C,W$4))</f>
        <v/>
      </c>
      <c r="X30" s="22">
        <f>IF(DAY(DATE(PORTADA!$B$2,5,26))&lt;&gt;26,"",SUMIFS(MOVIMIENTOS!$F:$F,MOVIMIENTOS!$A:$A,DATE(PORTADA!$B$2,5,26),MOVIMIENTOS!$C:$C,X$4))</f>
        <v/>
      </c>
      <c r="Y30" s="22">
        <f>IF(DAY(DATE(PORTADA!$B$2,5,26))&lt;&gt;26,"",SUMIFS(MOVIMIENTOS!$F:$F,MOVIMIENTOS!$A:$A,DATE(PORTADA!$B$2,5,26),MOVIMIENTOS!$C:$C,Y$4))</f>
        <v/>
      </c>
      <c r="Z30" s="22">
        <f>IF(DAY(DATE(PORTADA!$B$2,5,26))&lt;&gt;26,"",SUMIFS(MOVIMIENTOS!$F:$F,MOVIMIENTOS!$A:$A,DATE(PORTADA!$B$2,5,26),MOVIMIENTOS!$C:$C,Z$4))</f>
        <v/>
      </c>
      <c r="AA30" s="22">
        <f>IF(DAY(DATE(PORTADA!$B$2,5,26))&lt;&gt;26,"",SUM(T30:Z30))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SUMIFS(MOVIMIENTOS!$F:$F,MOVIMIENTOS!$A:$A,"&gt;="&amp;DATE(PORTADA!$B$2,5,1),MOVIMIENTOS!$A:$A,"&lt;="&amp;EOMONTH(DATE(PORTADA!$B$2,5,1),0),MOVIMIENTOS!$D:$D,$B31)</f>
        <v/>
      </c>
      <c r="E31" s="8">
        <f>C31-D31</f>
        <v/>
      </c>
      <c r="F31" s="9">
        <f>IFERROR(D31/C31,"")</f>
        <v/>
      </c>
      <c r="S31" s="21">
        <f>IF(DAY(DATE(PORTADA!$B$2,5,27))&lt;&gt;27,"",27)</f>
        <v/>
      </c>
      <c r="T31" s="22">
        <f>IF(DAY(DATE(PORTADA!$B$2,5,27))&lt;&gt;27,"",SUMIFS(MOVIMIENTOS!$F:$F,MOVIMIENTOS!$A:$A,DATE(PORTADA!$B$2,5,27),MOVIMIENTOS!$C:$C,T$4))</f>
        <v/>
      </c>
      <c r="U31" s="22">
        <f>IF(DAY(DATE(PORTADA!$B$2,5,27))&lt;&gt;27,"",SUMIFS(MOVIMIENTOS!$F:$F,MOVIMIENTOS!$A:$A,DATE(PORTADA!$B$2,5,27),MOVIMIENTOS!$C:$C,U$4))</f>
        <v/>
      </c>
      <c r="V31" s="22">
        <f>IF(DAY(DATE(PORTADA!$B$2,5,27))&lt;&gt;27,"",SUMIFS(MOVIMIENTOS!$F:$F,MOVIMIENTOS!$A:$A,DATE(PORTADA!$B$2,5,27),MOVIMIENTOS!$C:$C,V$4))</f>
        <v/>
      </c>
      <c r="W31" s="22">
        <f>IF(DAY(DATE(PORTADA!$B$2,5,27))&lt;&gt;27,"",SUMIFS(MOVIMIENTOS!$F:$F,MOVIMIENTOS!$A:$A,DATE(PORTADA!$B$2,5,27),MOVIMIENTOS!$C:$C,W$4))</f>
        <v/>
      </c>
      <c r="X31" s="22">
        <f>IF(DAY(DATE(PORTADA!$B$2,5,27))&lt;&gt;27,"",SUMIFS(MOVIMIENTOS!$F:$F,MOVIMIENTOS!$A:$A,DATE(PORTADA!$B$2,5,27),MOVIMIENTOS!$C:$C,X$4))</f>
        <v/>
      </c>
      <c r="Y31" s="22">
        <f>IF(DAY(DATE(PORTADA!$B$2,5,27))&lt;&gt;27,"",SUMIFS(MOVIMIENTOS!$F:$F,MOVIMIENTOS!$A:$A,DATE(PORTADA!$B$2,5,27),MOVIMIENTOS!$C:$C,Y$4))</f>
        <v/>
      </c>
      <c r="Z31" s="22">
        <f>IF(DAY(DATE(PORTADA!$B$2,5,27))&lt;&gt;27,"",SUMIFS(MOVIMIENTOS!$F:$F,MOVIMIENTOS!$A:$A,DATE(PORTADA!$B$2,5,27),MOVIMIENTOS!$C:$C,Z$4))</f>
        <v/>
      </c>
      <c r="AA31" s="22">
        <f>IF(DAY(DATE(PORTADA!$B$2,5,27))&lt;&gt;27,"",SUM(T31:Z31))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SUMIFS(MOVIMIENTOS!$F:$F,MOVIMIENTOS!$A:$A,"&gt;="&amp;DATE(PORTADA!$B$2,5,1),MOVIMIENTOS!$A:$A,"&lt;="&amp;EOMONTH(DATE(PORTADA!$B$2,5,1),0),MOVIMIENTOS!$D:$D,$B32)</f>
        <v/>
      </c>
      <c r="E32" s="8">
        <f>C32-D32</f>
        <v/>
      </c>
      <c r="F32" s="9">
        <f>IFERROR(D32/C32,"")</f>
        <v/>
      </c>
      <c r="S32" s="21">
        <f>IF(DAY(DATE(PORTADA!$B$2,5,28))&lt;&gt;28,"",28)</f>
        <v/>
      </c>
      <c r="T32" s="22">
        <f>IF(DAY(DATE(PORTADA!$B$2,5,28))&lt;&gt;28,"",SUMIFS(MOVIMIENTOS!$F:$F,MOVIMIENTOS!$A:$A,DATE(PORTADA!$B$2,5,28),MOVIMIENTOS!$C:$C,T$4))</f>
        <v/>
      </c>
      <c r="U32" s="22">
        <f>IF(DAY(DATE(PORTADA!$B$2,5,28))&lt;&gt;28,"",SUMIFS(MOVIMIENTOS!$F:$F,MOVIMIENTOS!$A:$A,DATE(PORTADA!$B$2,5,28),MOVIMIENTOS!$C:$C,U$4))</f>
        <v/>
      </c>
      <c r="V32" s="22">
        <f>IF(DAY(DATE(PORTADA!$B$2,5,28))&lt;&gt;28,"",SUMIFS(MOVIMIENTOS!$F:$F,MOVIMIENTOS!$A:$A,DATE(PORTADA!$B$2,5,28),MOVIMIENTOS!$C:$C,V$4))</f>
        <v/>
      </c>
      <c r="W32" s="22">
        <f>IF(DAY(DATE(PORTADA!$B$2,5,28))&lt;&gt;28,"",SUMIFS(MOVIMIENTOS!$F:$F,MOVIMIENTOS!$A:$A,DATE(PORTADA!$B$2,5,28),MOVIMIENTOS!$C:$C,W$4))</f>
        <v/>
      </c>
      <c r="X32" s="22">
        <f>IF(DAY(DATE(PORTADA!$B$2,5,28))&lt;&gt;28,"",SUMIFS(MOVIMIENTOS!$F:$F,MOVIMIENTOS!$A:$A,DATE(PORTADA!$B$2,5,28),MOVIMIENTOS!$C:$C,X$4))</f>
        <v/>
      </c>
      <c r="Y32" s="22">
        <f>IF(DAY(DATE(PORTADA!$B$2,5,28))&lt;&gt;28,"",SUMIFS(MOVIMIENTOS!$F:$F,MOVIMIENTOS!$A:$A,DATE(PORTADA!$B$2,5,28),MOVIMIENTOS!$C:$C,Y$4))</f>
        <v/>
      </c>
      <c r="Z32" s="22">
        <f>IF(DAY(DATE(PORTADA!$B$2,5,28))&lt;&gt;28,"",SUMIFS(MOVIMIENTOS!$F:$F,MOVIMIENTOS!$A:$A,DATE(PORTADA!$B$2,5,28),MOVIMIENTOS!$C:$C,Z$4))</f>
        <v/>
      </c>
      <c r="AA32" s="22">
        <f>IF(DAY(DATE(PORTADA!$B$2,5,28))&lt;&gt;28,"",SUM(T32:Z32))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SUMIFS(MOVIMIENTOS!$F:$F,MOVIMIENTOS!$A:$A,"&gt;="&amp;DATE(PORTADA!$B$2,5,1),MOVIMIENTOS!$A:$A,"&lt;="&amp;EOMONTH(DATE(PORTADA!$B$2,5,1),0),MOVIMIENTOS!$D:$D,$B33)</f>
        <v/>
      </c>
      <c r="E33" s="8">
        <f>C33-D33</f>
        <v/>
      </c>
      <c r="F33" s="9">
        <f>IFERROR(D33/C33,"")</f>
        <v/>
      </c>
      <c r="S33" s="21">
        <f>IF(DAY(DATE(PORTADA!$B$2,5,29))&lt;&gt;29,"",29)</f>
        <v/>
      </c>
      <c r="T33" s="22">
        <f>IF(DAY(DATE(PORTADA!$B$2,5,29))&lt;&gt;29,"",SUMIFS(MOVIMIENTOS!$F:$F,MOVIMIENTOS!$A:$A,DATE(PORTADA!$B$2,5,29),MOVIMIENTOS!$C:$C,T$4))</f>
        <v/>
      </c>
      <c r="U33" s="22">
        <f>IF(DAY(DATE(PORTADA!$B$2,5,29))&lt;&gt;29,"",SUMIFS(MOVIMIENTOS!$F:$F,MOVIMIENTOS!$A:$A,DATE(PORTADA!$B$2,5,29),MOVIMIENTOS!$C:$C,U$4))</f>
        <v/>
      </c>
      <c r="V33" s="22">
        <f>IF(DAY(DATE(PORTADA!$B$2,5,29))&lt;&gt;29,"",SUMIFS(MOVIMIENTOS!$F:$F,MOVIMIENTOS!$A:$A,DATE(PORTADA!$B$2,5,29),MOVIMIENTOS!$C:$C,V$4))</f>
        <v/>
      </c>
      <c r="W33" s="22">
        <f>IF(DAY(DATE(PORTADA!$B$2,5,29))&lt;&gt;29,"",SUMIFS(MOVIMIENTOS!$F:$F,MOVIMIENTOS!$A:$A,DATE(PORTADA!$B$2,5,29),MOVIMIENTOS!$C:$C,W$4))</f>
        <v/>
      </c>
      <c r="X33" s="22">
        <f>IF(DAY(DATE(PORTADA!$B$2,5,29))&lt;&gt;29,"",SUMIFS(MOVIMIENTOS!$F:$F,MOVIMIENTOS!$A:$A,DATE(PORTADA!$B$2,5,29),MOVIMIENTOS!$C:$C,X$4))</f>
        <v/>
      </c>
      <c r="Y33" s="22">
        <f>IF(DAY(DATE(PORTADA!$B$2,5,29))&lt;&gt;29,"",SUMIFS(MOVIMIENTOS!$F:$F,MOVIMIENTOS!$A:$A,DATE(PORTADA!$B$2,5,29),MOVIMIENTOS!$C:$C,Y$4))</f>
        <v/>
      </c>
      <c r="Z33" s="22">
        <f>IF(DAY(DATE(PORTADA!$B$2,5,29))&lt;&gt;29,"",SUMIFS(MOVIMIENTOS!$F:$F,MOVIMIENTOS!$A:$A,DATE(PORTADA!$B$2,5,29),MOVIMIENTOS!$C:$C,Z$4))</f>
        <v/>
      </c>
      <c r="AA33" s="22">
        <f>IF(DAY(DATE(PORTADA!$B$2,5,29))&lt;&gt;29,"",SUM(T33:Z33))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SUMIFS(MOVIMIENTOS!$F:$F,MOVIMIENTOS!$A:$A,"&gt;="&amp;DATE(PORTADA!$B$2,5,1),MOVIMIENTOS!$A:$A,"&lt;="&amp;EOMONTH(DATE(PORTADA!$B$2,5,1),0),MOVIMIENTOS!$D:$D,$B34)</f>
        <v/>
      </c>
      <c r="E34" s="8">
        <f>C34-D34</f>
        <v/>
      </c>
      <c r="F34" s="9">
        <f>IFERROR(D34/C34,"")</f>
        <v/>
      </c>
      <c r="S34" s="21">
        <f>IF(DAY(DATE(PORTADA!$B$2,5,30))&lt;&gt;30,"",30)</f>
        <v/>
      </c>
      <c r="T34" s="22">
        <f>IF(DAY(DATE(PORTADA!$B$2,5,30))&lt;&gt;30,"",SUMIFS(MOVIMIENTOS!$F:$F,MOVIMIENTOS!$A:$A,DATE(PORTADA!$B$2,5,30),MOVIMIENTOS!$C:$C,T$4))</f>
        <v/>
      </c>
      <c r="U34" s="22">
        <f>IF(DAY(DATE(PORTADA!$B$2,5,30))&lt;&gt;30,"",SUMIFS(MOVIMIENTOS!$F:$F,MOVIMIENTOS!$A:$A,DATE(PORTADA!$B$2,5,30),MOVIMIENTOS!$C:$C,U$4))</f>
        <v/>
      </c>
      <c r="V34" s="22">
        <f>IF(DAY(DATE(PORTADA!$B$2,5,30))&lt;&gt;30,"",SUMIFS(MOVIMIENTOS!$F:$F,MOVIMIENTOS!$A:$A,DATE(PORTADA!$B$2,5,30),MOVIMIENTOS!$C:$C,V$4))</f>
        <v/>
      </c>
      <c r="W34" s="22">
        <f>IF(DAY(DATE(PORTADA!$B$2,5,30))&lt;&gt;30,"",SUMIFS(MOVIMIENTOS!$F:$F,MOVIMIENTOS!$A:$A,DATE(PORTADA!$B$2,5,30),MOVIMIENTOS!$C:$C,W$4))</f>
        <v/>
      </c>
      <c r="X34" s="22">
        <f>IF(DAY(DATE(PORTADA!$B$2,5,30))&lt;&gt;30,"",SUMIFS(MOVIMIENTOS!$F:$F,MOVIMIENTOS!$A:$A,DATE(PORTADA!$B$2,5,30),MOVIMIENTOS!$C:$C,X$4))</f>
        <v/>
      </c>
      <c r="Y34" s="22">
        <f>IF(DAY(DATE(PORTADA!$B$2,5,30))&lt;&gt;30,"",SUMIFS(MOVIMIENTOS!$F:$F,MOVIMIENTOS!$A:$A,DATE(PORTADA!$B$2,5,30),MOVIMIENTOS!$C:$C,Y$4))</f>
        <v/>
      </c>
      <c r="Z34" s="22">
        <f>IF(DAY(DATE(PORTADA!$B$2,5,30))&lt;&gt;30,"",SUMIFS(MOVIMIENTOS!$F:$F,MOVIMIENTOS!$A:$A,DATE(PORTADA!$B$2,5,30),MOVIMIENTOS!$C:$C,Z$4))</f>
        <v/>
      </c>
      <c r="AA34" s="22">
        <f>IF(DAY(DATE(PORTADA!$B$2,5,30))&lt;&gt;30,"",SUM(T34:Z34))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SUMIFS(MOVIMIENTOS!$F:$F,MOVIMIENTOS!$A:$A,"&gt;="&amp;DATE(PORTADA!$B$2,5,1),MOVIMIENTOS!$A:$A,"&lt;="&amp;EOMONTH(DATE(PORTADA!$B$2,5,1),0),MOVIMIENTOS!$D:$D,$B35)</f>
        <v/>
      </c>
      <c r="E35" s="8">
        <f>C35-D35</f>
        <v/>
      </c>
      <c r="F35" s="9">
        <f>IFERROR(D35/C35,"")</f>
        <v/>
      </c>
      <c r="S35" s="21">
        <f>IF(DAY(DATE(PORTADA!$B$2,5,31))&lt;&gt;31,"",31)</f>
        <v/>
      </c>
      <c r="T35" s="22">
        <f>IF(DAY(DATE(PORTADA!$B$2,5,31))&lt;&gt;31,"",SUMIFS(MOVIMIENTOS!$F:$F,MOVIMIENTOS!$A:$A,DATE(PORTADA!$B$2,5,31),MOVIMIENTOS!$C:$C,T$4))</f>
        <v/>
      </c>
      <c r="U35" s="22">
        <f>IF(DAY(DATE(PORTADA!$B$2,5,31))&lt;&gt;31,"",SUMIFS(MOVIMIENTOS!$F:$F,MOVIMIENTOS!$A:$A,DATE(PORTADA!$B$2,5,31),MOVIMIENTOS!$C:$C,U$4))</f>
        <v/>
      </c>
      <c r="V35" s="22">
        <f>IF(DAY(DATE(PORTADA!$B$2,5,31))&lt;&gt;31,"",SUMIFS(MOVIMIENTOS!$F:$F,MOVIMIENTOS!$A:$A,DATE(PORTADA!$B$2,5,31),MOVIMIENTOS!$C:$C,V$4))</f>
        <v/>
      </c>
      <c r="W35" s="22">
        <f>IF(DAY(DATE(PORTADA!$B$2,5,31))&lt;&gt;31,"",SUMIFS(MOVIMIENTOS!$F:$F,MOVIMIENTOS!$A:$A,DATE(PORTADA!$B$2,5,31),MOVIMIENTOS!$C:$C,W$4))</f>
        <v/>
      </c>
      <c r="X35" s="22">
        <f>IF(DAY(DATE(PORTADA!$B$2,5,31))&lt;&gt;31,"",SUMIFS(MOVIMIENTOS!$F:$F,MOVIMIENTOS!$A:$A,DATE(PORTADA!$B$2,5,31),MOVIMIENTOS!$C:$C,X$4))</f>
        <v/>
      </c>
      <c r="Y35" s="22">
        <f>IF(DAY(DATE(PORTADA!$B$2,5,31))&lt;&gt;31,"",SUMIFS(MOVIMIENTOS!$F:$F,MOVIMIENTOS!$A:$A,DATE(PORTADA!$B$2,5,31),MOVIMIENTOS!$C:$C,Y$4))</f>
        <v/>
      </c>
      <c r="Z35" s="22">
        <f>IF(DAY(DATE(PORTADA!$B$2,5,31))&lt;&gt;31,"",SUMIFS(MOVIMIENTOS!$F:$F,MOVIMIENTOS!$A:$A,DATE(PORTADA!$B$2,5,31),MOVIMIENTOS!$C:$C,Z$4))</f>
        <v/>
      </c>
      <c r="AA35" s="22">
        <f>IF(DAY(DATE(PORTADA!$B$2,5,31))&lt;&gt;31,"",SUM(T35:Z35))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SUMIFS(MOVIMIENTOS!$F:$F,MOVIMIENTOS!$A:$A,"&gt;="&amp;DATE(PORTADA!$B$2,5,1),MOVIMIENTOS!$A:$A,"&lt;="&amp;EOMONTH(DATE(PORTADA!$B$2,5,1),0),MOVIMIENTOS!$D:$D,$B36)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SUMIFS(MOVIMIENTOS!$F:$F,MOVIMIENTOS!$A:$A,"&gt;="&amp;DATE(PORTADA!$B$2,5,1),MOVIMIENTOS!$A:$A,"&lt;="&amp;EOMONTH(DATE(PORTADA!$B$2,5,1),0),MOVIMIENTOS!$D:$D,$B37)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SUMIFS(MOVIMIENTOS!$F:$F,MOVIMIENTOS!$A:$A,"&gt;="&amp;DATE(PORTADA!$B$2,5,1),MOVIMIENTOS!$A:$A,"&lt;="&amp;EOMONTH(DATE(PORTADA!$B$2,5,1),0),MOVIMIENTOS!$D:$D,$B38)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SUMIFS(MOVIMIENTOS!$F:$F,MOVIMIENTOS!$A:$A,"&gt;="&amp;DATE(PORTADA!$B$2,5,1),MOVIMIENTOS!$A:$A,"&lt;="&amp;EOMONTH(DATE(PORTADA!$B$2,5,1),0),MOVIMIENTOS!$D:$D,$B39)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SUMIFS(MOVIMIENTOS!$F:$F,MOVIMIENTOS!$A:$A,"&gt;="&amp;DATE(PORTADA!$B$2,5,1),MOVIMIENTOS!$A:$A,"&lt;="&amp;EOMONTH(DATE(PORTADA!$B$2,5,1),0),MOVIMIENTOS!$E:$E,"GASTO")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SUMIFS(MOVIMIENTOS!$F:$F,MOVIMIENTOS!$A:$A,"&gt;="&amp;DATE(PORTADA!$B$2,5,1),MOVIMIENTOS!$A:$A,"&lt;="&amp;EOMONTH(DATE(PORTADA!$B$2,5,1),0),MOVIMIENTOS!$E:$E,"AHORRO")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SUMIFS(MOVIMIENTOS!$F:$F,MOVIMIENTOS!$A:$A,"&gt;="&amp;DATE(PORTADA!$B$2,5,1),MOVIMIENTOS!$A:$A,"&lt;="&amp;EOMONTH(DATE(PORTADA!$B$2,5,1),0),MOVIMIENTOS!$E:$E,"DEUDA")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JUNIO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IF(DAY(DATE(PORTADA!$B$2,6,1))&lt;&gt;1,"",1)</f>
        <v/>
      </c>
      <c r="T5" s="22">
        <f>IF(DAY(DATE(PORTADA!$B$2,6,1))&lt;&gt;1,"",SUMIFS(MOVIMIENTOS!$F:$F,MOVIMIENTOS!$A:$A,DATE(PORTADA!$B$2,6,1),MOVIMIENTOS!$C:$C,T$4))</f>
        <v/>
      </c>
      <c r="U5" s="22">
        <f>IF(DAY(DATE(PORTADA!$B$2,6,1))&lt;&gt;1,"",SUMIFS(MOVIMIENTOS!$F:$F,MOVIMIENTOS!$A:$A,DATE(PORTADA!$B$2,6,1),MOVIMIENTOS!$C:$C,U$4))</f>
        <v/>
      </c>
      <c r="V5" s="22">
        <f>IF(DAY(DATE(PORTADA!$B$2,6,1))&lt;&gt;1,"",SUMIFS(MOVIMIENTOS!$F:$F,MOVIMIENTOS!$A:$A,DATE(PORTADA!$B$2,6,1),MOVIMIENTOS!$C:$C,V$4))</f>
        <v/>
      </c>
      <c r="W5" s="22">
        <f>IF(DAY(DATE(PORTADA!$B$2,6,1))&lt;&gt;1,"",SUMIFS(MOVIMIENTOS!$F:$F,MOVIMIENTOS!$A:$A,DATE(PORTADA!$B$2,6,1),MOVIMIENTOS!$C:$C,W$4))</f>
        <v/>
      </c>
      <c r="X5" s="22">
        <f>IF(DAY(DATE(PORTADA!$B$2,6,1))&lt;&gt;1,"",SUMIFS(MOVIMIENTOS!$F:$F,MOVIMIENTOS!$A:$A,DATE(PORTADA!$B$2,6,1),MOVIMIENTOS!$C:$C,X$4))</f>
        <v/>
      </c>
      <c r="Y5" s="22">
        <f>IF(DAY(DATE(PORTADA!$B$2,6,1))&lt;&gt;1,"",SUMIFS(MOVIMIENTOS!$F:$F,MOVIMIENTOS!$A:$A,DATE(PORTADA!$B$2,6,1),MOVIMIENTOS!$C:$C,Y$4))</f>
        <v/>
      </c>
      <c r="Z5" s="22">
        <f>IF(DAY(DATE(PORTADA!$B$2,6,1))&lt;&gt;1,"",SUMIFS(MOVIMIENTOS!$F:$F,MOVIMIENTOS!$A:$A,DATE(PORTADA!$B$2,6,1),MOVIMIENTOS!$C:$C,Z$4))</f>
        <v/>
      </c>
      <c r="AA5" s="22">
        <f>IF(DAY(DATE(PORTADA!$B$2,6,1))&lt;&gt;1,"",SUM(T5:Z5))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SUMIFS(MOVIMIENTOS!$F:$F,MOVIMIENTOS!$A:$A,"&gt;="&amp;DATE(PORTADA!$B$2,6,1),MOVIMIENTOS!$A:$A,"&lt;="&amp;EOMONTH(DATE(PORTADA!$B$2,6,1),0),MOVIMIENTOS!$D:$D,$B6)</f>
        <v/>
      </c>
      <c r="E6" s="8">
        <f>D6-C6</f>
        <v/>
      </c>
      <c r="F6" s="9">
        <f>IFERROR(D6/C6,"")</f>
        <v/>
      </c>
      <c r="S6" s="21">
        <f>IF(DAY(DATE(PORTADA!$B$2,6,2))&lt;&gt;2,"",2)</f>
        <v/>
      </c>
      <c r="T6" s="22">
        <f>IF(DAY(DATE(PORTADA!$B$2,6,2))&lt;&gt;2,"",SUMIFS(MOVIMIENTOS!$F:$F,MOVIMIENTOS!$A:$A,DATE(PORTADA!$B$2,6,2),MOVIMIENTOS!$C:$C,T$4))</f>
        <v/>
      </c>
      <c r="U6" s="22">
        <f>IF(DAY(DATE(PORTADA!$B$2,6,2))&lt;&gt;2,"",SUMIFS(MOVIMIENTOS!$F:$F,MOVIMIENTOS!$A:$A,DATE(PORTADA!$B$2,6,2),MOVIMIENTOS!$C:$C,U$4))</f>
        <v/>
      </c>
      <c r="V6" s="22">
        <f>IF(DAY(DATE(PORTADA!$B$2,6,2))&lt;&gt;2,"",SUMIFS(MOVIMIENTOS!$F:$F,MOVIMIENTOS!$A:$A,DATE(PORTADA!$B$2,6,2),MOVIMIENTOS!$C:$C,V$4))</f>
        <v/>
      </c>
      <c r="W6" s="22">
        <f>IF(DAY(DATE(PORTADA!$B$2,6,2))&lt;&gt;2,"",SUMIFS(MOVIMIENTOS!$F:$F,MOVIMIENTOS!$A:$A,DATE(PORTADA!$B$2,6,2),MOVIMIENTOS!$C:$C,W$4))</f>
        <v/>
      </c>
      <c r="X6" s="22">
        <f>IF(DAY(DATE(PORTADA!$B$2,6,2))&lt;&gt;2,"",SUMIFS(MOVIMIENTOS!$F:$F,MOVIMIENTOS!$A:$A,DATE(PORTADA!$B$2,6,2),MOVIMIENTOS!$C:$C,X$4))</f>
        <v/>
      </c>
      <c r="Y6" s="22">
        <f>IF(DAY(DATE(PORTADA!$B$2,6,2))&lt;&gt;2,"",SUMIFS(MOVIMIENTOS!$F:$F,MOVIMIENTOS!$A:$A,DATE(PORTADA!$B$2,6,2),MOVIMIENTOS!$C:$C,Y$4))</f>
        <v/>
      </c>
      <c r="Z6" s="22">
        <f>IF(DAY(DATE(PORTADA!$B$2,6,2))&lt;&gt;2,"",SUMIFS(MOVIMIENTOS!$F:$F,MOVIMIENTOS!$A:$A,DATE(PORTADA!$B$2,6,2),MOVIMIENTOS!$C:$C,Z$4))</f>
        <v/>
      </c>
      <c r="AA6" s="22">
        <f>IF(DAY(DATE(PORTADA!$B$2,6,2))&lt;&gt;2,"",SUM(T6:Z6))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SUMIFS(MOVIMIENTOS!$F:$F,MOVIMIENTOS!$A:$A,"&gt;="&amp;DATE(PORTADA!$B$2,6,1),MOVIMIENTOS!$A:$A,"&lt;="&amp;EOMONTH(DATE(PORTADA!$B$2,6,1),0),MOVIMIENTOS!$D:$D,$B7)</f>
        <v/>
      </c>
      <c r="E7" s="8">
        <f>D7-C7</f>
        <v/>
      </c>
      <c r="F7" s="9">
        <f>IFERROR(D7/C7,"")</f>
        <v/>
      </c>
      <c r="S7" s="21">
        <f>IF(DAY(DATE(PORTADA!$B$2,6,3))&lt;&gt;3,"",3)</f>
        <v/>
      </c>
      <c r="T7" s="22">
        <f>IF(DAY(DATE(PORTADA!$B$2,6,3))&lt;&gt;3,"",SUMIFS(MOVIMIENTOS!$F:$F,MOVIMIENTOS!$A:$A,DATE(PORTADA!$B$2,6,3),MOVIMIENTOS!$C:$C,T$4))</f>
        <v/>
      </c>
      <c r="U7" s="22">
        <f>IF(DAY(DATE(PORTADA!$B$2,6,3))&lt;&gt;3,"",SUMIFS(MOVIMIENTOS!$F:$F,MOVIMIENTOS!$A:$A,DATE(PORTADA!$B$2,6,3),MOVIMIENTOS!$C:$C,U$4))</f>
        <v/>
      </c>
      <c r="V7" s="22">
        <f>IF(DAY(DATE(PORTADA!$B$2,6,3))&lt;&gt;3,"",SUMIFS(MOVIMIENTOS!$F:$F,MOVIMIENTOS!$A:$A,DATE(PORTADA!$B$2,6,3),MOVIMIENTOS!$C:$C,V$4))</f>
        <v/>
      </c>
      <c r="W7" s="22">
        <f>IF(DAY(DATE(PORTADA!$B$2,6,3))&lt;&gt;3,"",SUMIFS(MOVIMIENTOS!$F:$F,MOVIMIENTOS!$A:$A,DATE(PORTADA!$B$2,6,3),MOVIMIENTOS!$C:$C,W$4))</f>
        <v/>
      </c>
      <c r="X7" s="22">
        <f>IF(DAY(DATE(PORTADA!$B$2,6,3))&lt;&gt;3,"",SUMIFS(MOVIMIENTOS!$F:$F,MOVIMIENTOS!$A:$A,DATE(PORTADA!$B$2,6,3),MOVIMIENTOS!$C:$C,X$4))</f>
        <v/>
      </c>
      <c r="Y7" s="22">
        <f>IF(DAY(DATE(PORTADA!$B$2,6,3))&lt;&gt;3,"",SUMIFS(MOVIMIENTOS!$F:$F,MOVIMIENTOS!$A:$A,DATE(PORTADA!$B$2,6,3),MOVIMIENTOS!$C:$C,Y$4))</f>
        <v/>
      </c>
      <c r="Z7" s="22">
        <f>IF(DAY(DATE(PORTADA!$B$2,6,3))&lt;&gt;3,"",SUMIFS(MOVIMIENTOS!$F:$F,MOVIMIENTOS!$A:$A,DATE(PORTADA!$B$2,6,3),MOVIMIENTOS!$C:$C,Z$4))</f>
        <v/>
      </c>
      <c r="AA7" s="22">
        <f>IF(DAY(DATE(PORTADA!$B$2,6,3))&lt;&gt;3,"",SUM(T7:Z7))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SUMIFS(MOVIMIENTOS!$F:$F,MOVIMIENTOS!$A:$A,"&gt;="&amp;DATE(PORTADA!$B$2,6,1),MOVIMIENTOS!$A:$A,"&lt;="&amp;EOMONTH(DATE(PORTADA!$B$2,6,1),0),MOVIMIENTOS!$D:$D,$B8)</f>
        <v/>
      </c>
      <c r="E8" s="8">
        <f>D8-C8</f>
        <v/>
      </c>
      <c r="F8" s="9">
        <f>IFERROR(D8/C8,"")</f>
        <v/>
      </c>
      <c r="S8" s="21">
        <f>IF(DAY(DATE(PORTADA!$B$2,6,4))&lt;&gt;4,"",4)</f>
        <v/>
      </c>
      <c r="T8" s="22">
        <f>IF(DAY(DATE(PORTADA!$B$2,6,4))&lt;&gt;4,"",SUMIFS(MOVIMIENTOS!$F:$F,MOVIMIENTOS!$A:$A,DATE(PORTADA!$B$2,6,4),MOVIMIENTOS!$C:$C,T$4))</f>
        <v/>
      </c>
      <c r="U8" s="22">
        <f>IF(DAY(DATE(PORTADA!$B$2,6,4))&lt;&gt;4,"",SUMIFS(MOVIMIENTOS!$F:$F,MOVIMIENTOS!$A:$A,DATE(PORTADA!$B$2,6,4),MOVIMIENTOS!$C:$C,U$4))</f>
        <v/>
      </c>
      <c r="V8" s="22">
        <f>IF(DAY(DATE(PORTADA!$B$2,6,4))&lt;&gt;4,"",SUMIFS(MOVIMIENTOS!$F:$F,MOVIMIENTOS!$A:$A,DATE(PORTADA!$B$2,6,4),MOVIMIENTOS!$C:$C,V$4))</f>
        <v/>
      </c>
      <c r="W8" s="22">
        <f>IF(DAY(DATE(PORTADA!$B$2,6,4))&lt;&gt;4,"",SUMIFS(MOVIMIENTOS!$F:$F,MOVIMIENTOS!$A:$A,DATE(PORTADA!$B$2,6,4),MOVIMIENTOS!$C:$C,W$4))</f>
        <v/>
      </c>
      <c r="X8" s="22">
        <f>IF(DAY(DATE(PORTADA!$B$2,6,4))&lt;&gt;4,"",SUMIFS(MOVIMIENTOS!$F:$F,MOVIMIENTOS!$A:$A,DATE(PORTADA!$B$2,6,4),MOVIMIENTOS!$C:$C,X$4))</f>
        <v/>
      </c>
      <c r="Y8" s="22">
        <f>IF(DAY(DATE(PORTADA!$B$2,6,4))&lt;&gt;4,"",SUMIFS(MOVIMIENTOS!$F:$F,MOVIMIENTOS!$A:$A,DATE(PORTADA!$B$2,6,4),MOVIMIENTOS!$C:$C,Y$4))</f>
        <v/>
      </c>
      <c r="Z8" s="22">
        <f>IF(DAY(DATE(PORTADA!$B$2,6,4))&lt;&gt;4,"",SUMIFS(MOVIMIENTOS!$F:$F,MOVIMIENTOS!$A:$A,DATE(PORTADA!$B$2,6,4),MOVIMIENTOS!$C:$C,Z$4))</f>
        <v/>
      </c>
      <c r="AA8" s="22">
        <f>IF(DAY(DATE(PORTADA!$B$2,6,4))&lt;&gt;4,"",SUM(T8:Z8))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SUMIFS(MOVIMIENTOS!$F:$F,MOVIMIENTOS!$A:$A,"&gt;="&amp;DATE(PORTADA!$B$2,6,1),MOVIMIENTOS!$A:$A,"&lt;="&amp;EOMONTH(DATE(PORTADA!$B$2,6,1),0),MOVIMIENTOS!$D:$D,$B9)</f>
        <v/>
      </c>
      <c r="E9" s="8">
        <f>D9-C9</f>
        <v/>
      </c>
      <c r="F9" s="9">
        <f>IFERROR(D9/C9,"")</f>
        <v/>
      </c>
      <c r="S9" s="21">
        <f>IF(DAY(DATE(PORTADA!$B$2,6,5))&lt;&gt;5,"",5)</f>
        <v/>
      </c>
      <c r="T9" s="22">
        <f>IF(DAY(DATE(PORTADA!$B$2,6,5))&lt;&gt;5,"",SUMIFS(MOVIMIENTOS!$F:$F,MOVIMIENTOS!$A:$A,DATE(PORTADA!$B$2,6,5),MOVIMIENTOS!$C:$C,T$4))</f>
        <v/>
      </c>
      <c r="U9" s="22">
        <f>IF(DAY(DATE(PORTADA!$B$2,6,5))&lt;&gt;5,"",SUMIFS(MOVIMIENTOS!$F:$F,MOVIMIENTOS!$A:$A,DATE(PORTADA!$B$2,6,5),MOVIMIENTOS!$C:$C,U$4))</f>
        <v/>
      </c>
      <c r="V9" s="22">
        <f>IF(DAY(DATE(PORTADA!$B$2,6,5))&lt;&gt;5,"",SUMIFS(MOVIMIENTOS!$F:$F,MOVIMIENTOS!$A:$A,DATE(PORTADA!$B$2,6,5),MOVIMIENTOS!$C:$C,V$4))</f>
        <v/>
      </c>
      <c r="W9" s="22">
        <f>IF(DAY(DATE(PORTADA!$B$2,6,5))&lt;&gt;5,"",SUMIFS(MOVIMIENTOS!$F:$F,MOVIMIENTOS!$A:$A,DATE(PORTADA!$B$2,6,5),MOVIMIENTOS!$C:$C,W$4))</f>
        <v/>
      </c>
      <c r="X9" s="22">
        <f>IF(DAY(DATE(PORTADA!$B$2,6,5))&lt;&gt;5,"",SUMIFS(MOVIMIENTOS!$F:$F,MOVIMIENTOS!$A:$A,DATE(PORTADA!$B$2,6,5),MOVIMIENTOS!$C:$C,X$4))</f>
        <v/>
      </c>
      <c r="Y9" s="22">
        <f>IF(DAY(DATE(PORTADA!$B$2,6,5))&lt;&gt;5,"",SUMIFS(MOVIMIENTOS!$F:$F,MOVIMIENTOS!$A:$A,DATE(PORTADA!$B$2,6,5),MOVIMIENTOS!$C:$C,Y$4))</f>
        <v/>
      </c>
      <c r="Z9" s="22">
        <f>IF(DAY(DATE(PORTADA!$B$2,6,5))&lt;&gt;5,"",SUMIFS(MOVIMIENTOS!$F:$F,MOVIMIENTOS!$A:$A,DATE(PORTADA!$B$2,6,5),MOVIMIENTOS!$C:$C,Z$4))</f>
        <v/>
      </c>
      <c r="AA9" s="22">
        <f>IF(DAY(DATE(PORTADA!$B$2,6,5))&lt;&gt;5,"",SUM(T9:Z9))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SUMIFS(MOVIMIENTOS!$F:$F,MOVIMIENTOS!$A:$A,"&gt;="&amp;DATE(PORTADA!$B$2,6,1),MOVIMIENTOS!$A:$A,"&lt;="&amp;EOMONTH(DATE(PORTADA!$B$2,6,1),0),MOVIMIENTOS!$D:$D,$B10)</f>
        <v/>
      </c>
      <c r="E10" s="8">
        <f>D10-C10</f>
        <v/>
      </c>
      <c r="F10" s="9">
        <f>IFERROR(D10/C10,"")</f>
        <v/>
      </c>
      <c r="S10" s="21">
        <f>IF(DAY(DATE(PORTADA!$B$2,6,6))&lt;&gt;6,"",6)</f>
        <v/>
      </c>
      <c r="T10" s="22">
        <f>IF(DAY(DATE(PORTADA!$B$2,6,6))&lt;&gt;6,"",SUMIFS(MOVIMIENTOS!$F:$F,MOVIMIENTOS!$A:$A,DATE(PORTADA!$B$2,6,6),MOVIMIENTOS!$C:$C,T$4))</f>
        <v/>
      </c>
      <c r="U10" s="22">
        <f>IF(DAY(DATE(PORTADA!$B$2,6,6))&lt;&gt;6,"",SUMIFS(MOVIMIENTOS!$F:$F,MOVIMIENTOS!$A:$A,DATE(PORTADA!$B$2,6,6),MOVIMIENTOS!$C:$C,U$4))</f>
        <v/>
      </c>
      <c r="V10" s="22">
        <f>IF(DAY(DATE(PORTADA!$B$2,6,6))&lt;&gt;6,"",SUMIFS(MOVIMIENTOS!$F:$F,MOVIMIENTOS!$A:$A,DATE(PORTADA!$B$2,6,6),MOVIMIENTOS!$C:$C,V$4))</f>
        <v/>
      </c>
      <c r="W10" s="22">
        <f>IF(DAY(DATE(PORTADA!$B$2,6,6))&lt;&gt;6,"",SUMIFS(MOVIMIENTOS!$F:$F,MOVIMIENTOS!$A:$A,DATE(PORTADA!$B$2,6,6),MOVIMIENTOS!$C:$C,W$4))</f>
        <v/>
      </c>
      <c r="X10" s="22">
        <f>IF(DAY(DATE(PORTADA!$B$2,6,6))&lt;&gt;6,"",SUMIFS(MOVIMIENTOS!$F:$F,MOVIMIENTOS!$A:$A,DATE(PORTADA!$B$2,6,6),MOVIMIENTOS!$C:$C,X$4))</f>
        <v/>
      </c>
      <c r="Y10" s="22">
        <f>IF(DAY(DATE(PORTADA!$B$2,6,6))&lt;&gt;6,"",SUMIFS(MOVIMIENTOS!$F:$F,MOVIMIENTOS!$A:$A,DATE(PORTADA!$B$2,6,6),MOVIMIENTOS!$C:$C,Y$4))</f>
        <v/>
      </c>
      <c r="Z10" s="22">
        <f>IF(DAY(DATE(PORTADA!$B$2,6,6))&lt;&gt;6,"",SUMIFS(MOVIMIENTOS!$F:$F,MOVIMIENTOS!$A:$A,DATE(PORTADA!$B$2,6,6),MOVIMIENTOS!$C:$C,Z$4))</f>
        <v/>
      </c>
      <c r="AA10" s="22">
        <f>IF(DAY(DATE(PORTADA!$B$2,6,6))&lt;&gt;6,"",SUM(T10:Z10))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SUMIFS(MOVIMIENTOS!$F:$F,MOVIMIENTOS!$A:$A,"&gt;="&amp;DATE(PORTADA!$B$2,6,1),MOVIMIENTOS!$A:$A,"&lt;="&amp;EOMONTH(DATE(PORTADA!$B$2,6,1),0),MOVIMIENTOS!$D:$D,$B11)</f>
        <v/>
      </c>
      <c r="E11" s="8">
        <f>D11-C11</f>
        <v/>
      </c>
      <c r="F11" s="9">
        <f>IFERROR(D11/C11,"")</f>
        <v/>
      </c>
      <c r="S11" s="21">
        <f>IF(DAY(DATE(PORTADA!$B$2,6,7))&lt;&gt;7,"",7)</f>
        <v/>
      </c>
      <c r="T11" s="22">
        <f>IF(DAY(DATE(PORTADA!$B$2,6,7))&lt;&gt;7,"",SUMIFS(MOVIMIENTOS!$F:$F,MOVIMIENTOS!$A:$A,DATE(PORTADA!$B$2,6,7),MOVIMIENTOS!$C:$C,T$4))</f>
        <v/>
      </c>
      <c r="U11" s="22">
        <f>IF(DAY(DATE(PORTADA!$B$2,6,7))&lt;&gt;7,"",SUMIFS(MOVIMIENTOS!$F:$F,MOVIMIENTOS!$A:$A,DATE(PORTADA!$B$2,6,7),MOVIMIENTOS!$C:$C,U$4))</f>
        <v/>
      </c>
      <c r="V11" s="22">
        <f>IF(DAY(DATE(PORTADA!$B$2,6,7))&lt;&gt;7,"",SUMIFS(MOVIMIENTOS!$F:$F,MOVIMIENTOS!$A:$A,DATE(PORTADA!$B$2,6,7),MOVIMIENTOS!$C:$C,V$4))</f>
        <v/>
      </c>
      <c r="W11" s="22">
        <f>IF(DAY(DATE(PORTADA!$B$2,6,7))&lt;&gt;7,"",SUMIFS(MOVIMIENTOS!$F:$F,MOVIMIENTOS!$A:$A,DATE(PORTADA!$B$2,6,7),MOVIMIENTOS!$C:$C,W$4))</f>
        <v/>
      </c>
      <c r="X11" s="22">
        <f>IF(DAY(DATE(PORTADA!$B$2,6,7))&lt;&gt;7,"",SUMIFS(MOVIMIENTOS!$F:$F,MOVIMIENTOS!$A:$A,DATE(PORTADA!$B$2,6,7),MOVIMIENTOS!$C:$C,X$4))</f>
        <v/>
      </c>
      <c r="Y11" s="22">
        <f>IF(DAY(DATE(PORTADA!$B$2,6,7))&lt;&gt;7,"",SUMIFS(MOVIMIENTOS!$F:$F,MOVIMIENTOS!$A:$A,DATE(PORTADA!$B$2,6,7),MOVIMIENTOS!$C:$C,Y$4))</f>
        <v/>
      </c>
      <c r="Z11" s="22">
        <f>IF(DAY(DATE(PORTADA!$B$2,6,7))&lt;&gt;7,"",SUMIFS(MOVIMIENTOS!$F:$F,MOVIMIENTOS!$A:$A,DATE(PORTADA!$B$2,6,7),MOVIMIENTOS!$C:$C,Z$4))</f>
        <v/>
      </c>
      <c r="AA11" s="22">
        <f>IF(DAY(DATE(PORTADA!$B$2,6,7))&lt;&gt;7,"",SUM(T11:Z11))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SUMIFS(MOVIMIENTOS!$F:$F,MOVIMIENTOS!$A:$A,"&gt;="&amp;DATE(PORTADA!$B$2,6,1),MOVIMIENTOS!$A:$A,"&lt;="&amp;EOMONTH(DATE(PORTADA!$B$2,6,1),0),MOVIMIENTOS!$D:$D,$B12)</f>
        <v/>
      </c>
      <c r="E12" s="8">
        <f>D12-C12</f>
        <v/>
      </c>
      <c r="F12" s="9">
        <f>IFERROR(D12/C12,"")</f>
        <v/>
      </c>
      <c r="S12" s="21">
        <f>IF(DAY(DATE(PORTADA!$B$2,6,8))&lt;&gt;8,"",8)</f>
        <v/>
      </c>
      <c r="T12" s="22">
        <f>IF(DAY(DATE(PORTADA!$B$2,6,8))&lt;&gt;8,"",SUMIFS(MOVIMIENTOS!$F:$F,MOVIMIENTOS!$A:$A,DATE(PORTADA!$B$2,6,8),MOVIMIENTOS!$C:$C,T$4))</f>
        <v/>
      </c>
      <c r="U12" s="22">
        <f>IF(DAY(DATE(PORTADA!$B$2,6,8))&lt;&gt;8,"",SUMIFS(MOVIMIENTOS!$F:$F,MOVIMIENTOS!$A:$A,DATE(PORTADA!$B$2,6,8),MOVIMIENTOS!$C:$C,U$4))</f>
        <v/>
      </c>
      <c r="V12" s="22">
        <f>IF(DAY(DATE(PORTADA!$B$2,6,8))&lt;&gt;8,"",SUMIFS(MOVIMIENTOS!$F:$F,MOVIMIENTOS!$A:$A,DATE(PORTADA!$B$2,6,8),MOVIMIENTOS!$C:$C,V$4))</f>
        <v/>
      </c>
      <c r="W12" s="22">
        <f>IF(DAY(DATE(PORTADA!$B$2,6,8))&lt;&gt;8,"",SUMIFS(MOVIMIENTOS!$F:$F,MOVIMIENTOS!$A:$A,DATE(PORTADA!$B$2,6,8),MOVIMIENTOS!$C:$C,W$4))</f>
        <v/>
      </c>
      <c r="X12" s="22">
        <f>IF(DAY(DATE(PORTADA!$B$2,6,8))&lt;&gt;8,"",SUMIFS(MOVIMIENTOS!$F:$F,MOVIMIENTOS!$A:$A,DATE(PORTADA!$B$2,6,8),MOVIMIENTOS!$C:$C,X$4))</f>
        <v/>
      </c>
      <c r="Y12" s="22">
        <f>IF(DAY(DATE(PORTADA!$B$2,6,8))&lt;&gt;8,"",SUMIFS(MOVIMIENTOS!$F:$F,MOVIMIENTOS!$A:$A,DATE(PORTADA!$B$2,6,8),MOVIMIENTOS!$C:$C,Y$4))</f>
        <v/>
      </c>
      <c r="Z12" s="22">
        <f>IF(DAY(DATE(PORTADA!$B$2,6,8))&lt;&gt;8,"",SUMIFS(MOVIMIENTOS!$F:$F,MOVIMIENTOS!$A:$A,DATE(PORTADA!$B$2,6,8),MOVIMIENTOS!$C:$C,Z$4))</f>
        <v/>
      </c>
      <c r="AA12" s="22">
        <f>IF(DAY(DATE(PORTADA!$B$2,6,8))&lt;&gt;8,"",SUM(T12:Z12))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IF(DAY(DATE(PORTADA!$B$2,6,9))&lt;&gt;9,"",9)</f>
        <v/>
      </c>
      <c r="T13" s="22">
        <f>IF(DAY(DATE(PORTADA!$B$2,6,9))&lt;&gt;9,"",SUMIFS(MOVIMIENTOS!$F:$F,MOVIMIENTOS!$A:$A,DATE(PORTADA!$B$2,6,9),MOVIMIENTOS!$C:$C,T$4))</f>
        <v/>
      </c>
      <c r="U13" s="22">
        <f>IF(DAY(DATE(PORTADA!$B$2,6,9))&lt;&gt;9,"",SUMIFS(MOVIMIENTOS!$F:$F,MOVIMIENTOS!$A:$A,DATE(PORTADA!$B$2,6,9),MOVIMIENTOS!$C:$C,U$4))</f>
        <v/>
      </c>
      <c r="V13" s="22">
        <f>IF(DAY(DATE(PORTADA!$B$2,6,9))&lt;&gt;9,"",SUMIFS(MOVIMIENTOS!$F:$F,MOVIMIENTOS!$A:$A,DATE(PORTADA!$B$2,6,9),MOVIMIENTOS!$C:$C,V$4))</f>
        <v/>
      </c>
      <c r="W13" s="22">
        <f>IF(DAY(DATE(PORTADA!$B$2,6,9))&lt;&gt;9,"",SUMIFS(MOVIMIENTOS!$F:$F,MOVIMIENTOS!$A:$A,DATE(PORTADA!$B$2,6,9),MOVIMIENTOS!$C:$C,W$4))</f>
        <v/>
      </c>
      <c r="X13" s="22">
        <f>IF(DAY(DATE(PORTADA!$B$2,6,9))&lt;&gt;9,"",SUMIFS(MOVIMIENTOS!$F:$F,MOVIMIENTOS!$A:$A,DATE(PORTADA!$B$2,6,9),MOVIMIENTOS!$C:$C,X$4))</f>
        <v/>
      </c>
      <c r="Y13" s="22">
        <f>IF(DAY(DATE(PORTADA!$B$2,6,9))&lt;&gt;9,"",SUMIFS(MOVIMIENTOS!$F:$F,MOVIMIENTOS!$A:$A,DATE(PORTADA!$B$2,6,9),MOVIMIENTOS!$C:$C,Y$4))</f>
        <v/>
      </c>
      <c r="Z13" s="22">
        <f>IF(DAY(DATE(PORTADA!$B$2,6,9))&lt;&gt;9,"",SUMIFS(MOVIMIENTOS!$F:$F,MOVIMIENTOS!$A:$A,DATE(PORTADA!$B$2,6,9),MOVIMIENTOS!$C:$C,Z$4))</f>
        <v/>
      </c>
      <c r="AA13" s="22">
        <f>IF(DAY(DATE(PORTADA!$B$2,6,9))&lt;&gt;9,"",SUM(T13:Z13))</f>
        <v/>
      </c>
    </row>
    <row r="14">
      <c r="S14" s="21">
        <f>IF(DAY(DATE(PORTADA!$B$2,6,10))&lt;&gt;10,"",10)</f>
        <v/>
      </c>
      <c r="T14" s="22">
        <f>IF(DAY(DATE(PORTADA!$B$2,6,10))&lt;&gt;10,"",SUMIFS(MOVIMIENTOS!$F:$F,MOVIMIENTOS!$A:$A,DATE(PORTADA!$B$2,6,10),MOVIMIENTOS!$C:$C,T$4))</f>
        <v/>
      </c>
      <c r="U14" s="22">
        <f>IF(DAY(DATE(PORTADA!$B$2,6,10))&lt;&gt;10,"",SUMIFS(MOVIMIENTOS!$F:$F,MOVIMIENTOS!$A:$A,DATE(PORTADA!$B$2,6,10),MOVIMIENTOS!$C:$C,U$4))</f>
        <v/>
      </c>
      <c r="V14" s="22">
        <f>IF(DAY(DATE(PORTADA!$B$2,6,10))&lt;&gt;10,"",SUMIFS(MOVIMIENTOS!$F:$F,MOVIMIENTOS!$A:$A,DATE(PORTADA!$B$2,6,10),MOVIMIENTOS!$C:$C,V$4))</f>
        <v/>
      </c>
      <c r="W14" s="22">
        <f>IF(DAY(DATE(PORTADA!$B$2,6,10))&lt;&gt;10,"",SUMIFS(MOVIMIENTOS!$F:$F,MOVIMIENTOS!$A:$A,DATE(PORTADA!$B$2,6,10),MOVIMIENTOS!$C:$C,W$4))</f>
        <v/>
      </c>
      <c r="X14" s="22">
        <f>IF(DAY(DATE(PORTADA!$B$2,6,10))&lt;&gt;10,"",SUMIFS(MOVIMIENTOS!$F:$F,MOVIMIENTOS!$A:$A,DATE(PORTADA!$B$2,6,10),MOVIMIENTOS!$C:$C,X$4))</f>
        <v/>
      </c>
      <c r="Y14" s="22">
        <f>IF(DAY(DATE(PORTADA!$B$2,6,10))&lt;&gt;10,"",SUMIFS(MOVIMIENTOS!$F:$F,MOVIMIENTOS!$A:$A,DATE(PORTADA!$B$2,6,10),MOVIMIENTOS!$C:$C,Y$4))</f>
        <v/>
      </c>
      <c r="Z14" s="22">
        <f>IF(DAY(DATE(PORTADA!$B$2,6,10))&lt;&gt;10,"",SUMIFS(MOVIMIENTOS!$F:$F,MOVIMIENTOS!$A:$A,DATE(PORTADA!$B$2,6,10),MOVIMIENTOS!$C:$C,Z$4))</f>
        <v/>
      </c>
      <c r="AA14" s="22">
        <f>IF(DAY(DATE(PORTADA!$B$2,6,10))&lt;&gt;10,"",SUM(T14:Z14))</f>
        <v/>
      </c>
    </row>
    <row r="15">
      <c r="A15" s="2" t="inlineStr">
        <is>
          <t>EGRESOS</t>
        </is>
      </c>
      <c r="S15" s="21">
        <f>IF(DAY(DATE(PORTADA!$B$2,6,11))&lt;&gt;11,"",11)</f>
        <v/>
      </c>
      <c r="T15" s="22">
        <f>IF(DAY(DATE(PORTADA!$B$2,6,11))&lt;&gt;11,"",SUMIFS(MOVIMIENTOS!$F:$F,MOVIMIENTOS!$A:$A,DATE(PORTADA!$B$2,6,11),MOVIMIENTOS!$C:$C,T$4))</f>
        <v/>
      </c>
      <c r="U15" s="22">
        <f>IF(DAY(DATE(PORTADA!$B$2,6,11))&lt;&gt;11,"",SUMIFS(MOVIMIENTOS!$F:$F,MOVIMIENTOS!$A:$A,DATE(PORTADA!$B$2,6,11),MOVIMIENTOS!$C:$C,U$4))</f>
        <v/>
      </c>
      <c r="V15" s="22">
        <f>IF(DAY(DATE(PORTADA!$B$2,6,11))&lt;&gt;11,"",SUMIFS(MOVIMIENTOS!$F:$F,MOVIMIENTOS!$A:$A,DATE(PORTADA!$B$2,6,11),MOVIMIENTOS!$C:$C,V$4))</f>
        <v/>
      </c>
      <c r="W15" s="22">
        <f>IF(DAY(DATE(PORTADA!$B$2,6,11))&lt;&gt;11,"",SUMIFS(MOVIMIENTOS!$F:$F,MOVIMIENTOS!$A:$A,DATE(PORTADA!$B$2,6,11),MOVIMIENTOS!$C:$C,W$4))</f>
        <v/>
      </c>
      <c r="X15" s="22">
        <f>IF(DAY(DATE(PORTADA!$B$2,6,11))&lt;&gt;11,"",SUMIFS(MOVIMIENTOS!$F:$F,MOVIMIENTOS!$A:$A,DATE(PORTADA!$B$2,6,11),MOVIMIENTOS!$C:$C,X$4))</f>
        <v/>
      </c>
      <c r="Y15" s="22">
        <f>IF(DAY(DATE(PORTADA!$B$2,6,11))&lt;&gt;11,"",SUMIFS(MOVIMIENTOS!$F:$F,MOVIMIENTOS!$A:$A,DATE(PORTADA!$B$2,6,11),MOVIMIENTOS!$C:$C,Y$4))</f>
        <v/>
      </c>
      <c r="Z15" s="22">
        <f>IF(DAY(DATE(PORTADA!$B$2,6,11))&lt;&gt;11,"",SUMIFS(MOVIMIENTOS!$F:$F,MOVIMIENTOS!$A:$A,DATE(PORTADA!$B$2,6,11),MOVIMIENTOS!$C:$C,Z$4))</f>
        <v/>
      </c>
      <c r="AA15" s="22">
        <f>IF(DAY(DATE(PORTADA!$B$2,6,11))&lt;&gt;11,"",SUM(T15:Z15))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IF(DAY(DATE(PORTADA!$B$2,6,12))&lt;&gt;12,"",12)</f>
        <v/>
      </c>
      <c r="T16" s="22">
        <f>IF(DAY(DATE(PORTADA!$B$2,6,12))&lt;&gt;12,"",SUMIFS(MOVIMIENTOS!$F:$F,MOVIMIENTOS!$A:$A,DATE(PORTADA!$B$2,6,12),MOVIMIENTOS!$C:$C,T$4))</f>
        <v/>
      </c>
      <c r="U16" s="22">
        <f>IF(DAY(DATE(PORTADA!$B$2,6,12))&lt;&gt;12,"",SUMIFS(MOVIMIENTOS!$F:$F,MOVIMIENTOS!$A:$A,DATE(PORTADA!$B$2,6,12),MOVIMIENTOS!$C:$C,U$4))</f>
        <v/>
      </c>
      <c r="V16" s="22">
        <f>IF(DAY(DATE(PORTADA!$B$2,6,12))&lt;&gt;12,"",SUMIFS(MOVIMIENTOS!$F:$F,MOVIMIENTOS!$A:$A,DATE(PORTADA!$B$2,6,12),MOVIMIENTOS!$C:$C,V$4))</f>
        <v/>
      </c>
      <c r="W16" s="22">
        <f>IF(DAY(DATE(PORTADA!$B$2,6,12))&lt;&gt;12,"",SUMIFS(MOVIMIENTOS!$F:$F,MOVIMIENTOS!$A:$A,DATE(PORTADA!$B$2,6,12),MOVIMIENTOS!$C:$C,W$4))</f>
        <v/>
      </c>
      <c r="X16" s="22">
        <f>IF(DAY(DATE(PORTADA!$B$2,6,12))&lt;&gt;12,"",SUMIFS(MOVIMIENTOS!$F:$F,MOVIMIENTOS!$A:$A,DATE(PORTADA!$B$2,6,12),MOVIMIENTOS!$C:$C,X$4))</f>
        <v/>
      </c>
      <c r="Y16" s="22">
        <f>IF(DAY(DATE(PORTADA!$B$2,6,12))&lt;&gt;12,"",SUMIFS(MOVIMIENTOS!$F:$F,MOVIMIENTOS!$A:$A,DATE(PORTADA!$B$2,6,12),MOVIMIENTOS!$C:$C,Y$4))</f>
        <v/>
      </c>
      <c r="Z16" s="22">
        <f>IF(DAY(DATE(PORTADA!$B$2,6,12))&lt;&gt;12,"",SUMIFS(MOVIMIENTOS!$F:$F,MOVIMIENTOS!$A:$A,DATE(PORTADA!$B$2,6,12),MOVIMIENTOS!$C:$C,Z$4))</f>
        <v/>
      </c>
      <c r="AA16" s="22">
        <f>IF(DAY(DATE(PORTADA!$B$2,6,12))&lt;&gt;12,"",SUM(T16:Z16))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SUMIFS(MOVIMIENTOS!$F:$F,MOVIMIENTOS!$A:$A,"&gt;="&amp;DATE(PORTADA!$B$2,6,1),MOVIMIENTOS!$A:$A,"&lt;="&amp;EOMONTH(DATE(PORTADA!$B$2,6,1),0),MOVIMIENTOS!$D:$D,$B17)</f>
        <v/>
      </c>
      <c r="E17" s="8">
        <f>C17-D17</f>
        <v/>
      </c>
      <c r="F17" s="9">
        <f>IFERROR(D17/C17,"")</f>
        <v/>
      </c>
      <c r="S17" s="21">
        <f>IF(DAY(DATE(PORTADA!$B$2,6,13))&lt;&gt;13,"",13)</f>
        <v/>
      </c>
      <c r="T17" s="22">
        <f>IF(DAY(DATE(PORTADA!$B$2,6,13))&lt;&gt;13,"",SUMIFS(MOVIMIENTOS!$F:$F,MOVIMIENTOS!$A:$A,DATE(PORTADA!$B$2,6,13),MOVIMIENTOS!$C:$C,T$4))</f>
        <v/>
      </c>
      <c r="U17" s="22">
        <f>IF(DAY(DATE(PORTADA!$B$2,6,13))&lt;&gt;13,"",SUMIFS(MOVIMIENTOS!$F:$F,MOVIMIENTOS!$A:$A,DATE(PORTADA!$B$2,6,13),MOVIMIENTOS!$C:$C,U$4))</f>
        <v/>
      </c>
      <c r="V17" s="22">
        <f>IF(DAY(DATE(PORTADA!$B$2,6,13))&lt;&gt;13,"",SUMIFS(MOVIMIENTOS!$F:$F,MOVIMIENTOS!$A:$A,DATE(PORTADA!$B$2,6,13),MOVIMIENTOS!$C:$C,V$4))</f>
        <v/>
      </c>
      <c r="W17" s="22">
        <f>IF(DAY(DATE(PORTADA!$B$2,6,13))&lt;&gt;13,"",SUMIFS(MOVIMIENTOS!$F:$F,MOVIMIENTOS!$A:$A,DATE(PORTADA!$B$2,6,13),MOVIMIENTOS!$C:$C,W$4))</f>
        <v/>
      </c>
      <c r="X17" s="22">
        <f>IF(DAY(DATE(PORTADA!$B$2,6,13))&lt;&gt;13,"",SUMIFS(MOVIMIENTOS!$F:$F,MOVIMIENTOS!$A:$A,DATE(PORTADA!$B$2,6,13),MOVIMIENTOS!$C:$C,X$4))</f>
        <v/>
      </c>
      <c r="Y17" s="22">
        <f>IF(DAY(DATE(PORTADA!$B$2,6,13))&lt;&gt;13,"",SUMIFS(MOVIMIENTOS!$F:$F,MOVIMIENTOS!$A:$A,DATE(PORTADA!$B$2,6,13),MOVIMIENTOS!$C:$C,Y$4))</f>
        <v/>
      </c>
      <c r="Z17" s="22">
        <f>IF(DAY(DATE(PORTADA!$B$2,6,13))&lt;&gt;13,"",SUMIFS(MOVIMIENTOS!$F:$F,MOVIMIENTOS!$A:$A,DATE(PORTADA!$B$2,6,13),MOVIMIENTOS!$C:$C,Z$4))</f>
        <v/>
      </c>
      <c r="AA17" s="22">
        <f>IF(DAY(DATE(PORTADA!$B$2,6,13))&lt;&gt;13,"",SUM(T17:Z17))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SUMIFS(MOVIMIENTOS!$F:$F,MOVIMIENTOS!$A:$A,"&gt;="&amp;DATE(PORTADA!$B$2,6,1),MOVIMIENTOS!$A:$A,"&lt;="&amp;EOMONTH(DATE(PORTADA!$B$2,6,1),0),MOVIMIENTOS!$D:$D,$B18)</f>
        <v/>
      </c>
      <c r="E18" s="8">
        <f>C18-D18</f>
        <v/>
      </c>
      <c r="F18" s="9">
        <f>IFERROR(D18/C18,"")</f>
        <v/>
      </c>
      <c r="S18" s="21">
        <f>IF(DAY(DATE(PORTADA!$B$2,6,14))&lt;&gt;14,"",14)</f>
        <v/>
      </c>
      <c r="T18" s="22">
        <f>IF(DAY(DATE(PORTADA!$B$2,6,14))&lt;&gt;14,"",SUMIFS(MOVIMIENTOS!$F:$F,MOVIMIENTOS!$A:$A,DATE(PORTADA!$B$2,6,14),MOVIMIENTOS!$C:$C,T$4))</f>
        <v/>
      </c>
      <c r="U18" s="22">
        <f>IF(DAY(DATE(PORTADA!$B$2,6,14))&lt;&gt;14,"",SUMIFS(MOVIMIENTOS!$F:$F,MOVIMIENTOS!$A:$A,DATE(PORTADA!$B$2,6,14),MOVIMIENTOS!$C:$C,U$4))</f>
        <v/>
      </c>
      <c r="V18" s="22">
        <f>IF(DAY(DATE(PORTADA!$B$2,6,14))&lt;&gt;14,"",SUMIFS(MOVIMIENTOS!$F:$F,MOVIMIENTOS!$A:$A,DATE(PORTADA!$B$2,6,14),MOVIMIENTOS!$C:$C,V$4))</f>
        <v/>
      </c>
      <c r="W18" s="22">
        <f>IF(DAY(DATE(PORTADA!$B$2,6,14))&lt;&gt;14,"",SUMIFS(MOVIMIENTOS!$F:$F,MOVIMIENTOS!$A:$A,DATE(PORTADA!$B$2,6,14),MOVIMIENTOS!$C:$C,W$4))</f>
        <v/>
      </c>
      <c r="X18" s="22">
        <f>IF(DAY(DATE(PORTADA!$B$2,6,14))&lt;&gt;14,"",SUMIFS(MOVIMIENTOS!$F:$F,MOVIMIENTOS!$A:$A,DATE(PORTADA!$B$2,6,14),MOVIMIENTOS!$C:$C,X$4))</f>
        <v/>
      </c>
      <c r="Y18" s="22">
        <f>IF(DAY(DATE(PORTADA!$B$2,6,14))&lt;&gt;14,"",SUMIFS(MOVIMIENTOS!$F:$F,MOVIMIENTOS!$A:$A,DATE(PORTADA!$B$2,6,14),MOVIMIENTOS!$C:$C,Y$4))</f>
        <v/>
      </c>
      <c r="Z18" s="22">
        <f>IF(DAY(DATE(PORTADA!$B$2,6,14))&lt;&gt;14,"",SUMIFS(MOVIMIENTOS!$F:$F,MOVIMIENTOS!$A:$A,DATE(PORTADA!$B$2,6,14),MOVIMIENTOS!$C:$C,Z$4))</f>
        <v/>
      </c>
      <c r="AA18" s="22">
        <f>IF(DAY(DATE(PORTADA!$B$2,6,14))&lt;&gt;14,"",SUM(T18:Z18))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SUMIFS(MOVIMIENTOS!$F:$F,MOVIMIENTOS!$A:$A,"&gt;="&amp;DATE(PORTADA!$B$2,6,1),MOVIMIENTOS!$A:$A,"&lt;="&amp;EOMONTH(DATE(PORTADA!$B$2,6,1),0),MOVIMIENTOS!$D:$D,$B19)</f>
        <v/>
      </c>
      <c r="E19" s="8">
        <f>C19-D19</f>
        <v/>
      </c>
      <c r="F19" s="9">
        <f>IFERROR(D19/C19,"")</f>
        <v/>
      </c>
      <c r="S19" s="21">
        <f>IF(DAY(DATE(PORTADA!$B$2,6,15))&lt;&gt;15,"",15)</f>
        <v/>
      </c>
      <c r="T19" s="22">
        <f>IF(DAY(DATE(PORTADA!$B$2,6,15))&lt;&gt;15,"",SUMIFS(MOVIMIENTOS!$F:$F,MOVIMIENTOS!$A:$A,DATE(PORTADA!$B$2,6,15),MOVIMIENTOS!$C:$C,T$4))</f>
        <v/>
      </c>
      <c r="U19" s="22">
        <f>IF(DAY(DATE(PORTADA!$B$2,6,15))&lt;&gt;15,"",SUMIFS(MOVIMIENTOS!$F:$F,MOVIMIENTOS!$A:$A,DATE(PORTADA!$B$2,6,15),MOVIMIENTOS!$C:$C,U$4))</f>
        <v/>
      </c>
      <c r="V19" s="22">
        <f>IF(DAY(DATE(PORTADA!$B$2,6,15))&lt;&gt;15,"",SUMIFS(MOVIMIENTOS!$F:$F,MOVIMIENTOS!$A:$A,DATE(PORTADA!$B$2,6,15),MOVIMIENTOS!$C:$C,V$4))</f>
        <v/>
      </c>
      <c r="W19" s="22">
        <f>IF(DAY(DATE(PORTADA!$B$2,6,15))&lt;&gt;15,"",SUMIFS(MOVIMIENTOS!$F:$F,MOVIMIENTOS!$A:$A,DATE(PORTADA!$B$2,6,15),MOVIMIENTOS!$C:$C,W$4))</f>
        <v/>
      </c>
      <c r="X19" s="22">
        <f>IF(DAY(DATE(PORTADA!$B$2,6,15))&lt;&gt;15,"",SUMIFS(MOVIMIENTOS!$F:$F,MOVIMIENTOS!$A:$A,DATE(PORTADA!$B$2,6,15),MOVIMIENTOS!$C:$C,X$4))</f>
        <v/>
      </c>
      <c r="Y19" s="22">
        <f>IF(DAY(DATE(PORTADA!$B$2,6,15))&lt;&gt;15,"",SUMIFS(MOVIMIENTOS!$F:$F,MOVIMIENTOS!$A:$A,DATE(PORTADA!$B$2,6,15),MOVIMIENTOS!$C:$C,Y$4))</f>
        <v/>
      </c>
      <c r="Z19" s="22">
        <f>IF(DAY(DATE(PORTADA!$B$2,6,15))&lt;&gt;15,"",SUMIFS(MOVIMIENTOS!$F:$F,MOVIMIENTOS!$A:$A,DATE(PORTADA!$B$2,6,15),MOVIMIENTOS!$C:$C,Z$4))</f>
        <v/>
      </c>
      <c r="AA19" s="22">
        <f>IF(DAY(DATE(PORTADA!$B$2,6,15))&lt;&gt;15,"",SUM(T19:Z19))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SUMIFS(MOVIMIENTOS!$F:$F,MOVIMIENTOS!$A:$A,"&gt;="&amp;DATE(PORTADA!$B$2,6,1),MOVIMIENTOS!$A:$A,"&lt;="&amp;EOMONTH(DATE(PORTADA!$B$2,6,1),0),MOVIMIENTOS!$D:$D,$B20)</f>
        <v/>
      </c>
      <c r="E20" s="8">
        <f>C20-D20</f>
        <v/>
      </c>
      <c r="F20" s="9">
        <f>IFERROR(D20/C20,"")</f>
        <v/>
      </c>
      <c r="S20" s="21">
        <f>IF(DAY(DATE(PORTADA!$B$2,6,16))&lt;&gt;16,"",16)</f>
        <v/>
      </c>
      <c r="T20" s="22">
        <f>IF(DAY(DATE(PORTADA!$B$2,6,16))&lt;&gt;16,"",SUMIFS(MOVIMIENTOS!$F:$F,MOVIMIENTOS!$A:$A,DATE(PORTADA!$B$2,6,16),MOVIMIENTOS!$C:$C,T$4))</f>
        <v/>
      </c>
      <c r="U20" s="22">
        <f>IF(DAY(DATE(PORTADA!$B$2,6,16))&lt;&gt;16,"",SUMIFS(MOVIMIENTOS!$F:$F,MOVIMIENTOS!$A:$A,DATE(PORTADA!$B$2,6,16),MOVIMIENTOS!$C:$C,U$4))</f>
        <v/>
      </c>
      <c r="V20" s="22">
        <f>IF(DAY(DATE(PORTADA!$B$2,6,16))&lt;&gt;16,"",SUMIFS(MOVIMIENTOS!$F:$F,MOVIMIENTOS!$A:$A,DATE(PORTADA!$B$2,6,16),MOVIMIENTOS!$C:$C,V$4))</f>
        <v/>
      </c>
      <c r="W20" s="22">
        <f>IF(DAY(DATE(PORTADA!$B$2,6,16))&lt;&gt;16,"",SUMIFS(MOVIMIENTOS!$F:$F,MOVIMIENTOS!$A:$A,DATE(PORTADA!$B$2,6,16),MOVIMIENTOS!$C:$C,W$4))</f>
        <v/>
      </c>
      <c r="X20" s="22">
        <f>IF(DAY(DATE(PORTADA!$B$2,6,16))&lt;&gt;16,"",SUMIFS(MOVIMIENTOS!$F:$F,MOVIMIENTOS!$A:$A,DATE(PORTADA!$B$2,6,16),MOVIMIENTOS!$C:$C,X$4))</f>
        <v/>
      </c>
      <c r="Y20" s="22">
        <f>IF(DAY(DATE(PORTADA!$B$2,6,16))&lt;&gt;16,"",SUMIFS(MOVIMIENTOS!$F:$F,MOVIMIENTOS!$A:$A,DATE(PORTADA!$B$2,6,16),MOVIMIENTOS!$C:$C,Y$4))</f>
        <v/>
      </c>
      <c r="Z20" s="22">
        <f>IF(DAY(DATE(PORTADA!$B$2,6,16))&lt;&gt;16,"",SUMIFS(MOVIMIENTOS!$F:$F,MOVIMIENTOS!$A:$A,DATE(PORTADA!$B$2,6,16),MOVIMIENTOS!$C:$C,Z$4))</f>
        <v/>
      </c>
      <c r="AA20" s="22">
        <f>IF(DAY(DATE(PORTADA!$B$2,6,16))&lt;&gt;16,"",SUM(T20:Z20))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SUMIFS(MOVIMIENTOS!$F:$F,MOVIMIENTOS!$A:$A,"&gt;="&amp;DATE(PORTADA!$B$2,6,1),MOVIMIENTOS!$A:$A,"&lt;="&amp;EOMONTH(DATE(PORTADA!$B$2,6,1),0),MOVIMIENTOS!$D:$D,$B21)</f>
        <v/>
      </c>
      <c r="E21" s="8">
        <f>C21-D21</f>
        <v/>
      </c>
      <c r="F21" s="9">
        <f>IFERROR(D21/C21,"")</f>
        <v/>
      </c>
      <c r="S21" s="21">
        <f>IF(DAY(DATE(PORTADA!$B$2,6,17))&lt;&gt;17,"",17)</f>
        <v/>
      </c>
      <c r="T21" s="22">
        <f>IF(DAY(DATE(PORTADA!$B$2,6,17))&lt;&gt;17,"",SUMIFS(MOVIMIENTOS!$F:$F,MOVIMIENTOS!$A:$A,DATE(PORTADA!$B$2,6,17),MOVIMIENTOS!$C:$C,T$4))</f>
        <v/>
      </c>
      <c r="U21" s="22">
        <f>IF(DAY(DATE(PORTADA!$B$2,6,17))&lt;&gt;17,"",SUMIFS(MOVIMIENTOS!$F:$F,MOVIMIENTOS!$A:$A,DATE(PORTADA!$B$2,6,17),MOVIMIENTOS!$C:$C,U$4))</f>
        <v/>
      </c>
      <c r="V21" s="22">
        <f>IF(DAY(DATE(PORTADA!$B$2,6,17))&lt;&gt;17,"",SUMIFS(MOVIMIENTOS!$F:$F,MOVIMIENTOS!$A:$A,DATE(PORTADA!$B$2,6,17),MOVIMIENTOS!$C:$C,V$4))</f>
        <v/>
      </c>
      <c r="W21" s="22">
        <f>IF(DAY(DATE(PORTADA!$B$2,6,17))&lt;&gt;17,"",SUMIFS(MOVIMIENTOS!$F:$F,MOVIMIENTOS!$A:$A,DATE(PORTADA!$B$2,6,17),MOVIMIENTOS!$C:$C,W$4))</f>
        <v/>
      </c>
      <c r="X21" s="22">
        <f>IF(DAY(DATE(PORTADA!$B$2,6,17))&lt;&gt;17,"",SUMIFS(MOVIMIENTOS!$F:$F,MOVIMIENTOS!$A:$A,DATE(PORTADA!$B$2,6,17),MOVIMIENTOS!$C:$C,X$4))</f>
        <v/>
      </c>
      <c r="Y21" s="22">
        <f>IF(DAY(DATE(PORTADA!$B$2,6,17))&lt;&gt;17,"",SUMIFS(MOVIMIENTOS!$F:$F,MOVIMIENTOS!$A:$A,DATE(PORTADA!$B$2,6,17),MOVIMIENTOS!$C:$C,Y$4))</f>
        <v/>
      </c>
      <c r="Z21" s="22">
        <f>IF(DAY(DATE(PORTADA!$B$2,6,17))&lt;&gt;17,"",SUMIFS(MOVIMIENTOS!$F:$F,MOVIMIENTOS!$A:$A,DATE(PORTADA!$B$2,6,17),MOVIMIENTOS!$C:$C,Z$4))</f>
        <v/>
      </c>
      <c r="AA21" s="22">
        <f>IF(DAY(DATE(PORTADA!$B$2,6,17))&lt;&gt;17,"",SUM(T21:Z21))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SUMIFS(MOVIMIENTOS!$F:$F,MOVIMIENTOS!$A:$A,"&gt;="&amp;DATE(PORTADA!$B$2,6,1),MOVIMIENTOS!$A:$A,"&lt;="&amp;EOMONTH(DATE(PORTADA!$B$2,6,1),0),MOVIMIENTOS!$D:$D,$B22)</f>
        <v/>
      </c>
      <c r="E22" s="8">
        <f>C22-D22</f>
        <v/>
      </c>
      <c r="F22" s="9">
        <f>IFERROR(D22/C22,"")</f>
        <v/>
      </c>
      <c r="S22" s="21">
        <f>IF(DAY(DATE(PORTADA!$B$2,6,18))&lt;&gt;18,"",18)</f>
        <v/>
      </c>
      <c r="T22" s="22">
        <f>IF(DAY(DATE(PORTADA!$B$2,6,18))&lt;&gt;18,"",SUMIFS(MOVIMIENTOS!$F:$F,MOVIMIENTOS!$A:$A,DATE(PORTADA!$B$2,6,18),MOVIMIENTOS!$C:$C,T$4))</f>
        <v/>
      </c>
      <c r="U22" s="22">
        <f>IF(DAY(DATE(PORTADA!$B$2,6,18))&lt;&gt;18,"",SUMIFS(MOVIMIENTOS!$F:$F,MOVIMIENTOS!$A:$A,DATE(PORTADA!$B$2,6,18),MOVIMIENTOS!$C:$C,U$4))</f>
        <v/>
      </c>
      <c r="V22" s="22">
        <f>IF(DAY(DATE(PORTADA!$B$2,6,18))&lt;&gt;18,"",SUMIFS(MOVIMIENTOS!$F:$F,MOVIMIENTOS!$A:$A,DATE(PORTADA!$B$2,6,18),MOVIMIENTOS!$C:$C,V$4))</f>
        <v/>
      </c>
      <c r="W22" s="22">
        <f>IF(DAY(DATE(PORTADA!$B$2,6,18))&lt;&gt;18,"",SUMIFS(MOVIMIENTOS!$F:$F,MOVIMIENTOS!$A:$A,DATE(PORTADA!$B$2,6,18),MOVIMIENTOS!$C:$C,W$4))</f>
        <v/>
      </c>
      <c r="X22" s="22">
        <f>IF(DAY(DATE(PORTADA!$B$2,6,18))&lt;&gt;18,"",SUMIFS(MOVIMIENTOS!$F:$F,MOVIMIENTOS!$A:$A,DATE(PORTADA!$B$2,6,18),MOVIMIENTOS!$C:$C,X$4))</f>
        <v/>
      </c>
      <c r="Y22" s="22">
        <f>IF(DAY(DATE(PORTADA!$B$2,6,18))&lt;&gt;18,"",SUMIFS(MOVIMIENTOS!$F:$F,MOVIMIENTOS!$A:$A,DATE(PORTADA!$B$2,6,18),MOVIMIENTOS!$C:$C,Y$4))</f>
        <v/>
      </c>
      <c r="Z22" s="22">
        <f>IF(DAY(DATE(PORTADA!$B$2,6,18))&lt;&gt;18,"",SUMIFS(MOVIMIENTOS!$F:$F,MOVIMIENTOS!$A:$A,DATE(PORTADA!$B$2,6,18),MOVIMIENTOS!$C:$C,Z$4))</f>
        <v/>
      </c>
      <c r="AA22" s="22">
        <f>IF(DAY(DATE(PORTADA!$B$2,6,18))&lt;&gt;18,"",SUM(T22:Z22))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SUMIFS(MOVIMIENTOS!$F:$F,MOVIMIENTOS!$A:$A,"&gt;="&amp;DATE(PORTADA!$B$2,6,1),MOVIMIENTOS!$A:$A,"&lt;="&amp;EOMONTH(DATE(PORTADA!$B$2,6,1),0),MOVIMIENTOS!$D:$D,$B23)</f>
        <v/>
      </c>
      <c r="E23" s="8">
        <f>C23-D23</f>
        <v/>
      </c>
      <c r="F23" s="9">
        <f>IFERROR(D23/C23,"")</f>
        <v/>
      </c>
      <c r="S23" s="21">
        <f>IF(DAY(DATE(PORTADA!$B$2,6,19))&lt;&gt;19,"",19)</f>
        <v/>
      </c>
      <c r="T23" s="22">
        <f>IF(DAY(DATE(PORTADA!$B$2,6,19))&lt;&gt;19,"",SUMIFS(MOVIMIENTOS!$F:$F,MOVIMIENTOS!$A:$A,DATE(PORTADA!$B$2,6,19),MOVIMIENTOS!$C:$C,T$4))</f>
        <v/>
      </c>
      <c r="U23" s="22">
        <f>IF(DAY(DATE(PORTADA!$B$2,6,19))&lt;&gt;19,"",SUMIFS(MOVIMIENTOS!$F:$F,MOVIMIENTOS!$A:$A,DATE(PORTADA!$B$2,6,19),MOVIMIENTOS!$C:$C,U$4))</f>
        <v/>
      </c>
      <c r="V23" s="22">
        <f>IF(DAY(DATE(PORTADA!$B$2,6,19))&lt;&gt;19,"",SUMIFS(MOVIMIENTOS!$F:$F,MOVIMIENTOS!$A:$A,DATE(PORTADA!$B$2,6,19),MOVIMIENTOS!$C:$C,V$4))</f>
        <v/>
      </c>
      <c r="W23" s="22">
        <f>IF(DAY(DATE(PORTADA!$B$2,6,19))&lt;&gt;19,"",SUMIFS(MOVIMIENTOS!$F:$F,MOVIMIENTOS!$A:$A,DATE(PORTADA!$B$2,6,19),MOVIMIENTOS!$C:$C,W$4))</f>
        <v/>
      </c>
      <c r="X23" s="22">
        <f>IF(DAY(DATE(PORTADA!$B$2,6,19))&lt;&gt;19,"",SUMIFS(MOVIMIENTOS!$F:$F,MOVIMIENTOS!$A:$A,DATE(PORTADA!$B$2,6,19),MOVIMIENTOS!$C:$C,X$4))</f>
        <v/>
      </c>
      <c r="Y23" s="22">
        <f>IF(DAY(DATE(PORTADA!$B$2,6,19))&lt;&gt;19,"",SUMIFS(MOVIMIENTOS!$F:$F,MOVIMIENTOS!$A:$A,DATE(PORTADA!$B$2,6,19),MOVIMIENTOS!$C:$C,Y$4))</f>
        <v/>
      </c>
      <c r="Z23" s="22">
        <f>IF(DAY(DATE(PORTADA!$B$2,6,19))&lt;&gt;19,"",SUMIFS(MOVIMIENTOS!$F:$F,MOVIMIENTOS!$A:$A,DATE(PORTADA!$B$2,6,19),MOVIMIENTOS!$C:$C,Z$4))</f>
        <v/>
      </c>
      <c r="AA23" s="22">
        <f>IF(DAY(DATE(PORTADA!$B$2,6,19))&lt;&gt;19,"",SUM(T23:Z23))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SUMIFS(MOVIMIENTOS!$F:$F,MOVIMIENTOS!$A:$A,"&gt;="&amp;DATE(PORTADA!$B$2,6,1),MOVIMIENTOS!$A:$A,"&lt;="&amp;EOMONTH(DATE(PORTADA!$B$2,6,1),0),MOVIMIENTOS!$D:$D,$B24)</f>
        <v/>
      </c>
      <c r="E24" s="8">
        <f>C24-D24</f>
        <v/>
      </c>
      <c r="F24" s="9">
        <f>IFERROR(D24/C24,"")</f>
        <v/>
      </c>
      <c r="S24" s="21">
        <f>IF(DAY(DATE(PORTADA!$B$2,6,20))&lt;&gt;20,"",20)</f>
        <v/>
      </c>
      <c r="T24" s="22">
        <f>IF(DAY(DATE(PORTADA!$B$2,6,20))&lt;&gt;20,"",SUMIFS(MOVIMIENTOS!$F:$F,MOVIMIENTOS!$A:$A,DATE(PORTADA!$B$2,6,20),MOVIMIENTOS!$C:$C,T$4))</f>
        <v/>
      </c>
      <c r="U24" s="22">
        <f>IF(DAY(DATE(PORTADA!$B$2,6,20))&lt;&gt;20,"",SUMIFS(MOVIMIENTOS!$F:$F,MOVIMIENTOS!$A:$A,DATE(PORTADA!$B$2,6,20),MOVIMIENTOS!$C:$C,U$4))</f>
        <v/>
      </c>
      <c r="V24" s="22">
        <f>IF(DAY(DATE(PORTADA!$B$2,6,20))&lt;&gt;20,"",SUMIFS(MOVIMIENTOS!$F:$F,MOVIMIENTOS!$A:$A,DATE(PORTADA!$B$2,6,20),MOVIMIENTOS!$C:$C,V$4))</f>
        <v/>
      </c>
      <c r="W24" s="22">
        <f>IF(DAY(DATE(PORTADA!$B$2,6,20))&lt;&gt;20,"",SUMIFS(MOVIMIENTOS!$F:$F,MOVIMIENTOS!$A:$A,DATE(PORTADA!$B$2,6,20),MOVIMIENTOS!$C:$C,W$4))</f>
        <v/>
      </c>
      <c r="X24" s="22">
        <f>IF(DAY(DATE(PORTADA!$B$2,6,20))&lt;&gt;20,"",SUMIFS(MOVIMIENTOS!$F:$F,MOVIMIENTOS!$A:$A,DATE(PORTADA!$B$2,6,20),MOVIMIENTOS!$C:$C,X$4))</f>
        <v/>
      </c>
      <c r="Y24" s="22">
        <f>IF(DAY(DATE(PORTADA!$B$2,6,20))&lt;&gt;20,"",SUMIFS(MOVIMIENTOS!$F:$F,MOVIMIENTOS!$A:$A,DATE(PORTADA!$B$2,6,20),MOVIMIENTOS!$C:$C,Y$4))</f>
        <v/>
      </c>
      <c r="Z24" s="22">
        <f>IF(DAY(DATE(PORTADA!$B$2,6,20))&lt;&gt;20,"",SUMIFS(MOVIMIENTOS!$F:$F,MOVIMIENTOS!$A:$A,DATE(PORTADA!$B$2,6,20),MOVIMIENTOS!$C:$C,Z$4))</f>
        <v/>
      </c>
      <c r="AA24" s="22">
        <f>IF(DAY(DATE(PORTADA!$B$2,6,20))&lt;&gt;20,"",SUM(T24:Z24))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SUMIFS(MOVIMIENTOS!$F:$F,MOVIMIENTOS!$A:$A,"&gt;="&amp;DATE(PORTADA!$B$2,6,1),MOVIMIENTOS!$A:$A,"&lt;="&amp;EOMONTH(DATE(PORTADA!$B$2,6,1),0),MOVIMIENTOS!$D:$D,$B25)</f>
        <v/>
      </c>
      <c r="E25" s="8">
        <f>C25-D25</f>
        <v/>
      </c>
      <c r="F25" s="9">
        <f>IFERROR(D25/C25,"")</f>
        <v/>
      </c>
      <c r="S25" s="21">
        <f>IF(DAY(DATE(PORTADA!$B$2,6,21))&lt;&gt;21,"",21)</f>
        <v/>
      </c>
      <c r="T25" s="22">
        <f>IF(DAY(DATE(PORTADA!$B$2,6,21))&lt;&gt;21,"",SUMIFS(MOVIMIENTOS!$F:$F,MOVIMIENTOS!$A:$A,DATE(PORTADA!$B$2,6,21),MOVIMIENTOS!$C:$C,T$4))</f>
        <v/>
      </c>
      <c r="U25" s="22">
        <f>IF(DAY(DATE(PORTADA!$B$2,6,21))&lt;&gt;21,"",SUMIFS(MOVIMIENTOS!$F:$F,MOVIMIENTOS!$A:$A,DATE(PORTADA!$B$2,6,21),MOVIMIENTOS!$C:$C,U$4))</f>
        <v/>
      </c>
      <c r="V25" s="22">
        <f>IF(DAY(DATE(PORTADA!$B$2,6,21))&lt;&gt;21,"",SUMIFS(MOVIMIENTOS!$F:$F,MOVIMIENTOS!$A:$A,DATE(PORTADA!$B$2,6,21),MOVIMIENTOS!$C:$C,V$4))</f>
        <v/>
      </c>
      <c r="W25" s="22">
        <f>IF(DAY(DATE(PORTADA!$B$2,6,21))&lt;&gt;21,"",SUMIFS(MOVIMIENTOS!$F:$F,MOVIMIENTOS!$A:$A,DATE(PORTADA!$B$2,6,21),MOVIMIENTOS!$C:$C,W$4))</f>
        <v/>
      </c>
      <c r="X25" s="22">
        <f>IF(DAY(DATE(PORTADA!$B$2,6,21))&lt;&gt;21,"",SUMIFS(MOVIMIENTOS!$F:$F,MOVIMIENTOS!$A:$A,DATE(PORTADA!$B$2,6,21),MOVIMIENTOS!$C:$C,X$4))</f>
        <v/>
      </c>
      <c r="Y25" s="22">
        <f>IF(DAY(DATE(PORTADA!$B$2,6,21))&lt;&gt;21,"",SUMIFS(MOVIMIENTOS!$F:$F,MOVIMIENTOS!$A:$A,DATE(PORTADA!$B$2,6,21),MOVIMIENTOS!$C:$C,Y$4))</f>
        <v/>
      </c>
      <c r="Z25" s="22">
        <f>IF(DAY(DATE(PORTADA!$B$2,6,21))&lt;&gt;21,"",SUMIFS(MOVIMIENTOS!$F:$F,MOVIMIENTOS!$A:$A,DATE(PORTADA!$B$2,6,21),MOVIMIENTOS!$C:$C,Z$4))</f>
        <v/>
      </c>
      <c r="AA25" s="22">
        <f>IF(DAY(DATE(PORTADA!$B$2,6,21))&lt;&gt;21,"",SUM(T25:Z25))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SUMIFS(MOVIMIENTOS!$F:$F,MOVIMIENTOS!$A:$A,"&gt;="&amp;DATE(PORTADA!$B$2,6,1),MOVIMIENTOS!$A:$A,"&lt;="&amp;EOMONTH(DATE(PORTADA!$B$2,6,1),0),MOVIMIENTOS!$D:$D,$B26)</f>
        <v/>
      </c>
      <c r="E26" s="8">
        <f>C26-D26</f>
        <v/>
      </c>
      <c r="F26" s="9">
        <f>IFERROR(D26/C26,"")</f>
        <v/>
      </c>
      <c r="S26" s="21">
        <f>IF(DAY(DATE(PORTADA!$B$2,6,22))&lt;&gt;22,"",22)</f>
        <v/>
      </c>
      <c r="T26" s="22">
        <f>IF(DAY(DATE(PORTADA!$B$2,6,22))&lt;&gt;22,"",SUMIFS(MOVIMIENTOS!$F:$F,MOVIMIENTOS!$A:$A,DATE(PORTADA!$B$2,6,22),MOVIMIENTOS!$C:$C,T$4))</f>
        <v/>
      </c>
      <c r="U26" s="22">
        <f>IF(DAY(DATE(PORTADA!$B$2,6,22))&lt;&gt;22,"",SUMIFS(MOVIMIENTOS!$F:$F,MOVIMIENTOS!$A:$A,DATE(PORTADA!$B$2,6,22),MOVIMIENTOS!$C:$C,U$4))</f>
        <v/>
      </c>
      <c r="V26" s="22">
        <f>IF(DAY(DATE(PORTADA!$B$2,6,22))&lt;&gt;22,"",SUMIFS(MOVIMIENTOS!$F:$F,MOVIMIENTOS!$A:$A,DATE(PORTADA!$B$2,6,22),MOVIMIENTOS!$C:$C,V$4))</f>
        <v/>
      </c>
      <c r="W26" s="22">
        <f>IF(DAY(DATE(PORTADA!$B$2,6,22))&lt;&gt;22,"",SUMIFS(MOVIMIENTOS!$F:$F,MOVIMIENTOS!$A:$A,DATE(PORTADA!$B$2,6,22),MOVIMIENTOS!$C:$C,W$4))</f>
        <v/>
      </c>
      <c r="X26" s="22">
        <f>IF(DAY(DATE(PORTADA!$B$2,6,22))&lt;&gt;22,"",SUMIFS(MOVIMIENTOS!$F:$F,MOVIMIENTOS!$A:$A,DATE(PORTADA!$B$2,6,22),MOVIMIENTOS!$C:$C,X$4))</f>
        <v/>
      </c>
      <c r="Y26" s="22">
        <f>IF(DAY(DATE(PORTADA!$B$2,6,22))&lt;&gt;22,"",SUMIFS(MOVIMIENTOS!$F:$F,MOVIMIENTOS!$A:$A,DATE(PORTADA!$B$2,6,22),MOVIMIENTOS!$C:$C,Y$4))</f>
        <v/>
      </c>
      <c r="Z26" s="22">
        <f>IF(DAY(DATE(PORTADA!$B$2,6,22))&lt;&gt;22,"",SUMIFS(MOVIMIENTOS!$F:$F,MOVIMIENTOS!$A:$A,DATE(PORTADA!$B$2,6,22),MOVIMIENTOS!$C:$C,Z$4))</f>
        <v/>
      </c>
      <c r="AA26" s="22">
        <f>IF(DAY(DATE(PORTADA!$B$2,6,22))&lt;&gt;22,"",SUM(T26:Z26))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SUMIFS(MOVIMIENTOS!$F:$F,MOVIMIENTOS!$A:$A,"&gt;="&amp;DATE(PORTADA!$B$2,6,1),MOVIMIENTOS!$A:$A,"&lt;="&amp;EOMONTH(DATE(PORTADA!$B$2,6,1),0),MOVIMIENTOS!$D:$D,$B27)</f>
        <v/>
      </c>
      <c r="E27" s="8">
        <f>C27-D27</f>
        <v/>
      </c>
      <c r="F27" s="9">
        <f>IFERROR(D27/C27,"")</f>
        <v/>
      </c>
      <c r="S27" s="21">
        <f>IF(DAY(DATE(PORTADA!$B$2,6,23))&lt;&gt;23,"",23)</f>
        <v/>
      </c>
      <c r="T27" s="22">
        <f>IF(DAY(DATE(PORTADA!$B$2,6,23))&lt;&gt;23,"",SUMIFS(MOVIMIENTOS!$F:$F,MOVIMIENTOS!$A:$A,DATE(PORTADA!$B$2,6,23),MOVIMIENTOS!$C:$C,T$4))</f>
        <v/>
      </c>
      <c r="U27" s="22">
        <f>IF(DAY(DATE(PORTADA!$B$2,6,23))&lt;&gt;23,"",SUMIFS(MOVIMIENTOS!$F:$F,MOVIMIENTOS!$A:$A,DATE(PORTADA!$B$2,6,23),MOVIMIENTOS!$C:$C,U$4))</f>
        <v/>
      </c>
      <c r="V27" s="22">
        <f>IF(DAY(DATE(PORTADA!$B$2,6,23))&lt;&gt;23,"",SUMIFS(MOVIMIENTOS!$F:$F,MOVIMIENTOS!$A:$A,DATE(PORTADA!$B$2,6,23),MOVIMIENTOS!$C:$C,V$4))</f>
        <v/>
      </c>
      <c r="W27" s="22">
        <f>IF(DAY(DATE(PORTADA!$B$2,6,23))&lt;&gt;23,"",SUMIFS(MOVIMIENTOS!$F:$F,MOVIMIENTOS!$A:$A,DATE(PORTADA!$B$2,6,23),MOVIMIENTOS!$C:$C,W$4))</f>
        <v/>
      </c>
      <c r="X27" s="22">
        <f>IF(DAY(DATE(PORTADA!$B$2,6,23))&lt;&gt;23,"",SUMIFS(MOVIMIENTOS!$F:$F,MOVIMIENTOS!$A:$A,DATE(PORTADA!$B$2,6,23),MOVIMIENTOS!$C:$C,X$4))</f>
        <v/>
      </c>
      <c r="Y27" s="22">
        <f>IF(DAY(DATE(PORTADA!$B$2,6,23))&lt;&gt;23,"",SUMIFS(MOVIMIENTOS!$F:$F,MOVIMIENTOS!$A:$A,DATE(PORTADA!$B$2,6,23),MOVIMIENTOS!$C:$C,Y$4))</f>
        <v/>
      </c>
      <c r="Z27" s="22">
        <f>IF(DAY(DATE(PORTADA!$B$2,6,23))&lt;&gt;23,"",SUMIFS(MOVIMIENTOS!$F:$F,MOVIMIENTOS!$A:$A,DATE(PORTADA!$B$2,6,23),MOVIMIENTOS!$C:$C,Z$4))</f>
        <v/>
      </c>
      <c r="AA27" s="22">
        <f>IF(DAY(DATE(PORTADA!$B$2,6,23))&lt;&gt;23,"",SUM(T27:Z27))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SUMIFS(MOVIMIENTOS!$F:$F,MOVIMIENTOS!$A:$A,"&gt;="&amp;DATE(PORTADA!$B$2,6,1),MOVIMIENTOS!$A:$A,"&lt;="&amp;EOMONTH(DATE(PORTADA!$B$2,6,1),0),MOVIMIENTOS!$D:$D,$B28)</f>
        <v/>
      </c>
      <c r="E28" s="8">
        <f>C28-D28</f>
        <v/>
      </c>
      <c r="F28" s="9">
        <f>IFERROR(D28/C28,"")</f>
        <v/>
      </c>
      <c r="S28" s="21">
        <f>IF(DAY(DATE(PORTADA!$B$2,6,24))&lt;&gt;24,"",24)</f>
        <v/>
      </c>
      <c r="T28" s="22">
        <f>IF(DAY(DATE(PORTADA!$B$2,6,24))&lt;&gt;24,"",SUMIFS(MOVIMIENTOS!$F:$F,MOVIMIENTOS!$A:$A,DATE(PORTADA!$B$2,6,24),MOVIMIENTOS!$C:$C,T$4))</f>
        <v/>
      </c>
      <c r="U28" s="22">
        <f>IF(DAY(DATE(PORTADA!$B$2,6,24))&lt;&gt;24,"",SUMIFS(MOVIMIENTOS!$F:$F,MOVIMIENTOS!$A:$A,DATE(PORTADA!$B$2,6,24),MOVIMIENTOS!$C:$C,U$4))</f>
        <v/>
      </c>
      <c r="V28" s="22">
        <f>IF(DAY(DATE(PORTADA!$B$2,6,24))&lt;&gt;24,"",SUMIFS(MOVIMIENTOS!$F:$F,MOVIMIENTOS!$A:$A,DATE(PORTADA!$B$2,6,24),MOVIMIENTOS!$C:$C,V$4))</f>
        <v/>
      </c>
      <c r="W28" s="22">
        <f>IF(DAY(DATE(PORTADA!$B$2,6,24))&lt;&gt;24,"",SUMIFS(MOVIMIENTOS!$F:$F,MOVIMIENTOS!$A:$A,DATE(PORTADA!$B$2,6,24),MOVIMIENTOS!$C:$C,W$4))</f>
        <v/>
      </c>
      <c r="X28" s="22">
        <f>IF(DAY(DATE(PORTADA!$B$2,6,24))&lt;&gt;24,"",SUMIFS(MOVIMIENTOS!$F:$F,MOVIMIENTOS!$A:$A,DATE(PORTADA!$B$2,6,24),MOVIMIENTOS!$C:$C,X$4))</f>
        <v/>
      </c>
      <c r="Y28" s="22">
        <f>IF(DAY(DATE(PORTADA!$B$2,6,24))&lt;&gt;24,"",SUMIFS(MOVIMIENTOS!$F:$F,MOVIMIENTOS!$A:$A,DATE(PORTADA!$B$2,6,24),MOVIMIENTOS!$C:$C,Y$4))</f>
        <v/>
      </c>
      <c r="Z28" s="22">
        <f>IF(DAY(DATE(PORTADA!$B$2,6,24))&lt;&gt;24,"",SUMIFS(MOVIMIENTOS!$F:$F,MOVIMIENTOS!$A:$A,DATE(PORTADA!$B$2,6,24),MOVIMIENTOS!$C:$C,Z$4))</f>
        <v/>
      </c>
      <c r="AA28" s="22">
        <f>IF(DAY(DATE(PORTADA!$B$2,6,24))&lt;&gt;24,"",SUM(T28:Z28))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SUMIFS(MOVIMIENTOS!$F:$F,MOVIMIENTOS!$A:$A,"&gt;="&amp;DATE(PORTADA!$B$2,6,1),MOVIMIENTOS!$A:$A,"&lt;="&amp;EOMONTH(DATE(PORTADA!$B$2,6,1),0),MOVIMIENTOS!$D:$D,$B29)</f>
        <v/>
      </c>
      <c r="E29" s="8">
        <f>C29-D29</f>
        <v/>
      </c>
      <c r="F29" s="9">
        <f>IFERROR(D29/C29,"")</f>
        <v/>
      </c>
      <c r="S29" s="21">
        <f>IF(DAY(DATE(PORTADA!$B$2,6,25))&lt;&gt;25,"",25)</f>
        <v/>
      </c>
      <c r="T29" s="22">
        <f>IF(DAY(DATE(PORTADA!$B$2,6,25))&lt;&gt;25,"",SUMIFS(MOVIMIENTOS!$F:$F,MOVIMIENTOS!$A:$A,DATE(PORTADA!$B$2,6,25),MOVIMIENTOS!$C:$C,T$4))</f>
        <v/>
      </c>
      <c r="U29" s="22">
        <f>IF(DAY(DATE(PORTADA!$B$2,6,25))&lt;&gt;25,"",SUMIFS(MOVIMIENTOS!$F:$F,MOVIMIENTOS!$A:$A,DATE(PORTADA!$B$2,6,25),MOVIMIENTOS!$C:$C,U$4))</f>
        <v/>
      </c>
      <c r="V29" s="22">
        <f>IF(DAY(DATE(PORTADA!$B$2,6,25))&lt;&gt;25,"",SUMIFS(MOVIMIENTOS!$F:$F,MOVIMIENTOS!$A:$A,DATE(PORTADA!$B$2,6,25),MOVIMIENTOS!$C:$C,V$4))</f>
        <v/>
      </c>
      <c r="W29" s="22">
        <f>IF(DAY(DATE(PORTADA!$B$2,6,25))&lt;&gt;25,"",SUMIFS(MOVIMIENTOS!$F:$F,MOVIMIENTOS!$A:$A,DATE(PORTADA!$B$2,6,25),MOVIMIENTOS!$C:$C,W$4))</f>
        <v/>
      </c>
      <c r="X29" s="22">
        <f>IF(DAY(DATE(PORTADA!$B$2,6,25))&lt;&gt;25,"",SUMIFS(MOVIMIENTOS!$F:$F,MOVIMIENTOS!$A:$A,DATE(PORTADA!$B$2,6,25),MOVIMIENTOS!$C:$C,X$4))</f>
        <v/>
      </c>
      <c r="Y29" s="22">
        <f>IF(DAY(DATE(PORTADA!$B$2,6,25))&lt;&gt;25,"",SUMIFS(MOVIMIENTOS!$F:$F,MOVIMIENTOS!$A:$A,DATE(PORTADA!$B$2,6,25),MOVIMIENTOS!$C:$C,Y$4))</f>
        <v/>
      </c>
      <c r="Z29" s="22">
        <f>IF(DAY(DATE(PORTADA!$B$2,6,25))&lt;&gt;25,"",SUMIFS(MOVIMIENTOS!$F:$F,MOVIMIENTOS!$A:$A,DATE(PORTADA!$B$2,6,25),MOVIMIENTOS!$C:$C,Z$4))</f>
        <v/>
      </c>
      <c r="AA29" s="22">
        <f>IF(DAY(DATE(PORTADA!$B$2,6,25))&lt;&gt;25,"",SUM(T29:Z29))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SUMIFS(MOVIMIENTOS!$F:$F,MOVIMIENTOS!$A:$A,"&gt;="&amp;DATE(PORTADA!$B$2,6,1),MOVIMIENTOS!$A:$A,"&lt;="&amp;EOMONTH(DATE(PORTADA!$B$2,6,1),0),MOVIMIENTOS!$D:$D,$B30)</f>
        <v/>
      </c>
      <c r="E30" s="8">
        <f>C30-D30</f>
        <v/>
      </c>
      <c r="F30" s="9">
        <f>IFERROR(D30/C30,"")</f>
        <v/>
      </c>
      <c r="S30" s="21">
        <f>IF(DAY(DATE(PORTADA!$B$2,6,26))&lt;&gt;26,"",26)</f>
        <v/>
      </c>
      <c r="T30" s="22">
        <f>IF(DAY(DATE(PORTADA!$B$2,6,26))&lt;&gt;26,"",SUMIFS(MOVIMIENTOS!$F:$F,MOVIMIENTOS!$A:$A,DATE(PORTADA!$B$2,6,26),MOVIMIENTOS!$C:$C,T$4))</f>
        <v/>
      </c>
      <c r="U30" s="22">
        <f>IF(DAY(DATE(PORTADA!$B$2,6,26))&lt;&gt;26,"",SUMIFS(MOVIMIENTOS!$F:$F,MOVIMIENTOS!$A:$A,DATE(PORTADA!$B$2,6,26),MOVIMIENTOS!$C:$C,U$4))</f>
        <v/>
      </c>
      <c r="V30" s="22">
        <f>IF(DAY(DATE(PORTADA!$B$2,6,26))&lt;&gt;26,"",SUMIFS(MOVIMIENTOS!$F:$F,MOVIMIENTOS!$A:$A,DATE(PORTADA!$B$2,6,26),MOVIMIENTOS!$C:$C,V$4))</f>
        <v/>
      </c>
      <c r="W30" s="22">
        <f>IF(DAY(DATE(PORTADA!$B$2,6,26))&lt;&gt;26,"",SUMIFS(MOVIMIENTOS!$F:$F,MOVIMIENTOS!$A:$A,DATE(PORTADA!$B$2,6,26),MOVIMIENTOS!$C:$C,W$4))</f>
        <v/>
      </c>
      <c r="X30" s="22">
        <f>IF(DAY(DATE(PORTADA!$B$2,6,26))&lt;&gt;26,"",SUMIFS(MOVIMIENTOS!$F:$F,MOVIMIENTOS!$A:$A,DATE(PORTADA!$B$2,6,26),MOVIMIENTOS!$C:$C,X$4))</f>
        <v/>
      </c>
      <c r="Y30" s="22">
        <f>IF(DAY(DATE(PORTADA!$B$2,6,26))&lt;&gt;26,"",SUMIFS(MOVIMIENTOS!$F:$F,MOVIMIENTOS!$A:$A,DATE(PORTADA!$B$2,6,26),MOVIMIENTOS!$C:$C,Y$4))</f>
        <v/>
      </c>
      <c r="Z30" s="22">
        <f>IF(DAY(DATE(PORTADA!$B$2,6,26))&lt;&gt;26,"",SUMIFS(MOVIMIENTOS!$F:$F,MOVIMIENTOS!$A:$A,DATE(PORTADA!$B$2,6,26),MOVIMIENTOS!$C:$C,Z$4))</f>
        <v/>
      </c>
      <c r="AA30" s="22">
        <f>IF(DAY(DATE(PORTADA!$B$2,6,26))&lt;&gt;26,"",SUM(T30:Z30))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SUMIFS(MOVIMIENTOS!$F:$F,MOVIMIENTOS!$A:$A,"&gt;="&amp;DATE(PORTADA!$B$2,6,1),MOVIMIENTOS!$A:$A,"&lt;="&amp;EOMONTH(DATE(PORTADA!$B$2,6,1),0),MOVIMIENTOS!$D:$D,$B31)</f>
        <v/>
      </c>
      <c r="E31" s="8">
        <f>C31-D31</f>
        <v/>
      </c>
      <c r="F31" s="9">
        <f>IFERROR(D31/C31,"")</f>
        <v/>
      </c>
      <c r="S31" s="21">
        <f>IF(DAY(DATE(PORTADA!$B$2,6,27))&lt;&gt;27,"",27)</f>
        <v/>
      </c>
      <c r="T31" s="22">
        <f>IF(DAY(DATE(PORTADA!$B$2,6,27))&lt;&gt;27,"",SUMIFS(MOVIMIENTOS!$F:$F,MOVIMIENTOS!$A:$A,DATE(PORTADA!$B$2,6,27),MOVIMIENTOS!$C:$C,T$4))</f>
        <v/>
      </c>
      <c r="U31" s="22">
        <f>IF(DAY(DATE(PORTADA!$B$2,6,27))&lt;&gt;27,"",SUMIFS(MOVIMIENTOS!$F:$F,MOVIMIENTOS!$A:$A,DATE(PORTADA!$B$2,6,27),MOVIMIENTOS!$C:$C,U$4))</f>
        <v/>
      </c>
      <c r="V31" s="22">
        <f>IF(DAY(DATE(PORTADA!$B$2,6,27))&lt;&gt;27,"",SUMIFS(MOVIMIENTOS!$F:$F,MOVIMIENTOS!$A:$A,DATE(PORTADA!$B$2,6,27),MOVIMIENTOS!$C:$C,V$4))</f>
        <v/>
      </c>
      <c r="W31" s="22">
        <f>IF(DAY(DATE(PORTADA!$B$2,6,27))&lt;&gt;27,"",SUMIFS(MOVIMIENTOS!$F:$F,MOVIMIENTOS!$A:$A,DATE(PORTADA!$B$2,6,27),MOVIMIENTOS!$C:$C,W$4))</f>
        <v/>
      </c>
      <c r="X31" s="22">
        <f>IF(DAY(DATE(PORTADA!$B$2,6,27))&lt;&gt;27,"",SUMIFS(MOVIMIENTOS!$F:$F,MOVIMIENTOS!$A:$A,DATE(PORTADA!$B$2,6,27),MOVIMIENTOS!$C:$C,X$4))</f>
        <v/>
      </c>
      <c r="Y31" s="22">
        <f>IF(DAY(DATE(PORTADA!$B$2,6,27))&lt;&gt;27,"",SUMIFS(MOVIMIENTOS!$F:$F,MOVIMIENTOS!$A:$A,DATE(PORTADA!$B$2,6,27),MOVIMIENTOS!$C:$C,Y$4))</f>
        <v/>
      </c>
      <c r="Z31" s="22">
        <f>IF(DAY(DATE(PORTADA!$B$2,6,27))&lt;&gt;27,"",SUMIFS(MOVIMIENTOS!$F:$F,MOVIMIENTOS!$A:$A,DATE(PORTADA!$B$2,6,27),MOVIMIENTOS!$C:$C,Z$4))</f>
        <v/>
      </c>
      <c r="AA31" s="22">
        <f>IF(DAY(DATE(PORTADA!$B$2,6,27))&lt;&gt;27,"",SUM(T31:Z31))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SUMIFS(MOVIMIENTOS!$F:$F,MOVIMIENTOS!$A:$A,"&gt;="&amp;DATE(PORTADA!$B$2,6,1),MOVIMIENTOS!$A:$A,"&lt;="&amp;EOMONTH(DATE(PORTADA!$B$2,6,1),0),MOVIMIENTOS!$D:$D,$B32)</f>
        <v/>
      </c>
      <c r="E32" s="8">
        <f>C32-D32</f>
        <v/>
      </c>
      <c r="F32" s="9">
        <f>IFERROR(D32/C32,"")</f>
        <v/>
      </c>
      <c r="S32" s="21">
        <f>IF(DAY(DATE(PORTADA!$B$2,6,28))&lt;&gt;28,"",28)</f>
        <v/>
      </c>
      <c r="T32" s="22">
        <f>IF(DAY(DATE(PORTADA!$B$2,6,28))&lt;&gt;28,"",SUMIFS(MOVIMIENTOS!$F:$F,MOVIMIENTOS!$A:$A,DATE(PORTADA!$B$2,6,28),MOVIMIENTOS!$C:$C,T$4))</f>
        <v/>
      </c>
      <c r="U32" s="22">
        <f>IF(DAY(DATE(PORTADA!$B$2,6,28))&lt;&gt;28,"",SUMIFS(MOVIMIENTOS!$F:$F,MOVIMIENTOS!$A:$A,DATE(PORTADA!$B$2,6,28),MOVIMIENTOS!$C:$C,U$4))</f>
        <v/>
      </c>
      <c r="V32" s="22">
        <f>IF(DAY(DATE(PORTADA!$B$2,6,28))&lt;&gt;28,"",SUMIFS(MOVIMIENTOS!$F:$F,MOVIMIENTOS!$A:$A,DATE(PORTADA!$B$2,6,28),MOVIMIENTOS!$C:$C,V$4))</f>
        <v/>
      </c>
      <c r="W32" s="22">
        <f>IF(DAY(DATE(PORTADA!$B$2,6,28))&lt;&gt;28,"",SUMIFS(MOVIMIENTOS!$F:$F,MOVIMIENTOS!$A:$A,DATE(PORTADA!$B$2,6,28),MOVIMIENTOS!$C:$C,W$4))</f>
        <v/>
      </c>
      <c r="X32" s="22">
        <f>IF(DAY(DATE(PORTADA!$B$2,6,28))&lt;&gt;28,"",SUMIFS(MOVIMIENTOS!$F:$F,MOVIMIENTOS!$A:$A,DATE(PORTADA!$B$2,6,28),MOVIMIENTOS!$C:$C,X$4))</f>
        <v/>
      </c>
      <c r="Y32" s="22">
        <f>IF(DAY(DATE(PORTADA!$B$2,6,28))&lt;&gt;28,"",SUMIFS(MOVIMIENTOS!$F:$F,MOVIMIENTOS!$A:$A,DATE(PORTADA!$B$2,6,28),MOVIMIENTOS!$C:$C,Y$4))</f>
        <v/>
      </c>
      <c r="Z32" s="22">
        <f>IF(DAY(DATE(PORTADA!$B$2,6,28))&lt;&gt;28,"",SUMIFS(MOVIMIENTOS!$F:$F,MOVIMIENTOS!$A:$A,DATE(PORTADA!$B$2,6,28),MOVIMIENTOS!$C:$C,Z$4))</f>
        <v/>
      </c>
      <c r="AA32" s="22">
        <f>IF(DAY(DATE(PORTADA!$B$2,6,28))&lt;&gt;28,"",SUM(T32:Z32))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SUMIFS(MOVIMIENTOS!$F:$F,MOVIMIENTOS!$A:$A,"&gt;="&amp;DATE(PORTADA!$B$2,6,1),MOVIMIENTOS!$A:$A,"&lt;="&amp;EOMONTH(DATE(PORTADA!$B$2,6,1),0),MOVIMIENTOS!$D:$D,$B33)</f>
        <v/>
      </c>
      <c r="E33" s="8">
        <f>C33-D33</f>
        <v/>
      </c>
      <c r="F33" s="9">
        <f>IFERROR(D33/C33,"")</f>
        <v/>
      </c>
      <c r="S33" s="21">
        <f>IF(DAY(DATE(PORTADA!$B$2,6,29))&lt;&gt;29,"",29)</f>
        <v/>
      </c>
      <c r="T33" s="22">
        <f>IF(DAY(DATE(PORTADA!$B$2,6,29))&lt;&gt;29,"",SUMIFS(MOVIMIENTOS!$F:$F,MOVIMIENTOS!$A:$A,DATE(PORTADA!$B$2,6,29),MOVIMIENTOS!$C:$C,T$4))</f>
        <v/>
      </c>
      <c r="U33" s="22">
        <f>IF(DAY(DATE(PORTADA!$B$2,6,29))&lt;&gt;29,"",SUMIFS(MOVIMIENTOS!$F:$F,MOVIMIENTOS!$A:$A,DATE(PORTADA!$B$2,6,29),MOVIMIENTOS!$C:$C,U$4))</f>
        <v/>
      </c>
      <c r="V33" s="22">
        <f>IF(DAY(DATE(PORTADA!$B$2,6,29))&lt;&gt;29,"",SUMIFS(MOVIMIENTOS!$F:$F,MOVIMIENTOS!$A:$A,DATE(PORTADA!$B$2,6,29),MOVIMIENTOS!$C:$C,V$4))</f>
        <v/>
      </c>
      <c r="W33" s="22">
        <f>IF(DAY(DATE(PORTADA!$B$2,6,29))&lt;&gt;29,"",SUMIFS(MOVIMIENTOS!$F:$F,MOVIMIENTOS!$A:$A,DATE(PORTADA!$B$2,6,29),MOVIMIENTOS!$C:$C,W$4))</f>
        <v/>
      </c>
      <c r="X33" s="22">
        <f>IF(DAY(DATE(PORTADA!$B$2,6,29))&lt;&gt;29,"",SUMIFS(MOVIMIENTOS!$F:$F,MOVIMIENTOS!$A:$A,DATE(PORTADA!$B$2,6,29),MOVIMIENTOS!$C:$C,X$4))</f>
        <v/>
      </c>
      <c r="Y33" s="22">
        <f>IF(DAY(DATE(PORTADA!$B$2,6,29))&lt;&gt;29,"",SUMIFS(MOVIMIENTOS!$F:$F,MOVIMIENTOS!$A:$A,DATE(PORTADA!$B$2,6,29),MOVIMIENTOS!$C:$C,Y$4))</f>
        <v/>
      </c>
      <c r="Z33" s="22">
        <f>IF(DAY(DATE(PORTADA!$B$2,6,29))&lt;&gt;29,"",SUMIFS(MOVIMIENTOS!$F:$F,MOVIMIENTOS!$A:$A,DATE(PORTADA!$B$2,6,29),MOVIMIENTOS!$C:$C,Z$4))</f>
        <v/>
      </c>
      <c r="AA33" s="22">
        <f>IF(DAY(DATE(PORTADA!$B$2,6,29))&lt;&gt;29,"",SUM(T33:Z33))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SUMIFS(MOVIMIENTOS!$F:$F,MOVIMIENTOS!$A:$A,"&gt;="&amp;DATE(PORTADA!$B$2,6,1),MOVIMIENTOS!$A:$A,"&lt;="&amp;EOMONTH(DATE(PORTADA!$B$2,6,1),0),MOVIMIENTOS!$D:$D,$B34)</f>
        <v/>
      </c>
      <c r="E34" s="8">
        <f>C34-D34</f>
        <v/>
      </c>
      <c r="F34" s="9">
        <f>IFERROR(D34/C34,"")</f>
        <v/>
      </c>
      <c r="S34" s="21">
        <f>IF(DAY(DATE(PORTADA!$B$2,6,30))&lt;&gt;30,"",30)</f>
        <v/>
      </c>
      <c r="T34" s="22">
        <f>IF(DAY(DATE(PORTADA!$B$2,6,30))&lt;&gt;30,"",SUMIFS(MOVIMIENTOS!$F:$F,MOVIMIENTOS!$A:$A,DATE(PORTADA!$B$2,6,30),MOVIMIENTOS!$C:$C,T$4))</f>
        <v/>
      </c>
      <c r="U34" s="22">
        <f>IF(DAY(DATE(PORTADA!$B$2,6,30))&lt;&gt;30,"",SUMIFS(MOVIMIENTOS!$F:$F,MOVIMIENTOS!$A:$A,DATE(PORTADA!$B$2,6,30),MOVIMIENTOS!$C:$C,U$4))</f>
        <v/>
      </c>
      <c r="V34" s="22">
        <f>IF(DAY(DATE(PORTADA!$B$2,6,30))&lt;&gt;30,"",SUMIFS(MOVIMIENTOS!$F:$F,MOVIMIENTOS!$A:$A,DATE(PORTADA!$B$2,6,30),MOVIMIENTOS!$C:$C,V$4))</f>
        <v/>
      </c>
      <c r="W34" s="22">
        <f>IF(DAY(DATE(PORTADA!$B$2,6,30))&lt;&gt;30,"",SUMIFS(MOVIMIENTOS!$F:$F,MOVIMIENTOS!$A:$A,DATE(PORTADA!$B$2,6,30),MOVIMIENTOS!$C:$C,W$4))</f>
        <v/>
      </c>
      <c r="X34" s="22">
        <f>IF(DAY(DATE(PORTADA!$B$2,6,30))&lt;&gt;30,"",SUMIFS(MOVIMIENTOS!$F:$F,MOVIMIENTOS!$A:$A,DATE(PORTADA!$B$2,6,30),MOVIMIENTOS!$C:$C,X$4))</f>
        <v/>
      </c>
      <c r="Y34" s="22">
        <f>IF(DAY(DATE(PORTADA!$B$2,6,30))&lt;&gt;30,"",SUMIFS(MOVIMIENTOS!$F:$F,MOVIMIENTOS!$A:$A,DATE(PORTADA!$B$2,6,30),MOVIMIENTOS!$C:$C,Y$4))</f>
        <v/>
      </c>
      <c r="Z34" s="22">
        <f>IF(DAY(DATE(PORTADA!$B$2,6,30))&lt;&gt;30,"",SUMIFS(MOVIMIENTOS!$F:$F,MOVIMIENTOS!$A:$A,DATE(PORTADA!$B$2,6,30),MOVIMIENTOS!$C:$C,Z$4))</f>
        <v/>
      </c>
      <c r="AA34" s="22">
        <f>IF(DAY(DATE(PORTADA!$B$2,6,30))&lt;&gt;30,"",SUM(T34:Z34))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SUMIFS(MOVIMIENTOS!$F:$F,MOVIMIENTOS!$A:$A,"&gt;="&amp;DATE(PORTADA!$B$2,6,1),MOVIMIENTOS!$A:$A,"&lt;="&amp;EOMONTH(DATE(PORTADA!$B$2,6,1),0),MOVIMIENTOS!$D:$D,$B35)</f>
        <v/>
      </c>
      <c r="E35" s="8">
        <f>C35-D35</f>
        <v/>
      </c>
      <c r="F35" s="9">
        <f>IFERROR(D35/C35,"")</f>
        <v/>
      </c>
      <c r="S35" s="21">
        <f>IF(DAY(DATE(PORTADA!$B$2,6,31))&lt;&gt;31,"",31)</f>
        <v/>
      </c>
      <c r="T35" s="22">
        <f>IF(DAY(DATE(PORTADA!$B$2,6,31))&lt;&gt;31,"",SUMIFS(MOVIMIENTOS!$F:$F,MOVIMIENTOS!$A:$A,DATE(PORTADA!$B$2,6,31),MOVIMIENTOS!$C:$C,T$4))</f>
        <v/>
      </c>
      <c r="U35" s="22">
        <f>IF(DAY(DATE(PORTADA!$B$2,6,31))&lt;&gt;31,"",SUMIFS(MOVIMIENTOS!$F:$F,MOVIMIENTOS!$A:$A,DATE(PORTADA!$B$2,6,31),MOVIMIENTOS!$C:$C,U$4))</f>
        <v/>
      </c>
      <c r="V35" s="22">
        <f>IF(DAY(DATE(PORTADA!$B$2,6,31))&lt;&gt;31,"",SUMIFS(MOVIMIENTOS!$F:$F,MOVIMIENTOS!$A:$A,DATE(PORTADA!$B$2,6,31),MOVIMIENTOS!$C:$C,V$4))</f>
        <v/>
      </c>
      <c r="W35" s="22">
        <f>IF(DAY(DATE(PORTADA!$B$2,6,31))&lt;&gt;31,"",SUMIFS(MOVIMIENTOS!$F:$F,MOVIMIENTOS!$A:$A,DATE(PORTADA!$B$2,6,31),MOVIMIENTOS!$C:$C,W$4))</f>
        <v/>
      </c>
      <c r="X35" s="22">
        <f>IF(DAY(DATE(PORTADA!$B$2,6,31))&lt;&gt;31,"",SUMIFS(MOVIMIENTOS!$F:$F,MOVIMIENTOS!$A:$A,DATE(PORTADA!$B$2,6,31),MOVIMIENTOS!$C:$C,X$4))</f>
        <v/>
      </c>
      <c r="Y35" s="22">
        <f>IF(DAY(DATE(PORTADA!$B$2,6,31))&lt;&gt;31,"",SUMIFS(MOVIMIENTOS!$F:$F,MOVIMIENTOS!$A:$A,DATE(PORTADA!$B$2,6,31),MOVIMIENTOS!$C:$C,Y$4))</f>
        <v/>
      </c>
      <c r="Z35" s="22">
        <f>IF(DAY(DATE(PORTADA!$B$2,6,31))&lt;&gt;31,"",SUMIFS(MOVIMIENTOS!$F:$F,MOVIMIENTOS!$A:$A,DATE(PORTADA!$B$2,6,31),MOVIMIENTOS!$C:$C,Z$4))</f>
        <v/>
      </c>
      <c r="AA35" s="22">
        <f>IF(DAY(DATE(PORTADA!$B$2,6,31))&lt;&gt;31,"",SUM(T35:Z35))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SUMIFS(MOVIMIENTOS!$F:$F,MOVIMIENTOS!$A:$A,"&gt;="&amp;DATE(PORTADA!$B$2,6,1),MOVIMIENTOS!$A:$A,"&lt;="&amp;EOMONTH(DATE(PORTADA!$B$2,6,1),0),MOVIMIENTOS!$D:$D,$B36)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SUMIFS(MOVIMIENTOS!$F:$F,MOVIMIENTOS!$A:$A,"&gt;="&amp;DATE(PORTADA!$B$2,6,1),MOVIMIENTOS!$A:$A,"&lt;="&amp;EOMONTH(DATE(PORTADA!$B$2,6,1),0),MOVIMIENTOS!$D:$D,$B37)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SUMIFS(MOVIMIENTOS!$F:$F,MOVIMIENTOS!$A:$A,"&gt;="&amp;DATE(PORTADA!$B$2,6,1),MOVIMIENTOS!$A:$A,"&lt;="&amp;EOMONTH(DATE(PORTADA!$B$2,6,1),0),MOVIMIENTOS!$D:$D,$B38)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SUMIFS(MOVIMIENTOS!$F:$F,MOVIMIENTOS!$A:$A,"&gt;="&amp;DATE(PORTADA!$B$2,6,1),MOVIMIENTOS!$A:$A,"&lt;="&amp;EOMONTH(DATE(PORTADA!$B$2,6,1),0),MOVIMIENTOS!$D:$D,$B39)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SUMIFS(MOVIMIENTOS!$F:$F,MOVIMIENTOS!$A:$A,"&gt;="&amp;DATE(PORTADA!$B$2,6,1),MOVIMIENTOS!$A:$A,"&lt;="&amp;EOMONTH(DATE(PORTADA!$B$2,6,1),0),MOVIMIENTOS!$E:$E,"GASTO")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SUMIFS(MOVIMIENTOS!$F:$F,MOVIMIENTOS!$A:$A,"&gt;="&amp;DATE(PORTADA!$B$2,6,1),MOVIMIENTOS!$A:$A,"&lt;="&amp;EOMONTH(DATE(PORTADA!$B$2,6,1),0),MOVIMIENTOS!$E:$E,"AHORRO")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SUMIFS(MOVIMIENTOS!$F:$F,MOVIMIENTOS!$A:$A,"&gt;="&amp;DATE(PORTADA!$B$2,6,1),MOVIMIENTOS!$A:$A,"&lt;="&amp;EOMONTH(DATE(PORTADA!$B$2,6,1),0),MOVIMIENTOS!$E:$E,"DEUDA")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JULIO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IF(DAY(DATE(PORTADA!$B$2,7,1))&lt;&gt;1,"",1)</f>
        <v/>
      </c>
      <c r="T5" s="22">
        <f>IF(DAY(DATE(PORTADA!$B$2,7,1))&lt;&gt;1,"",SUMIFS(MOVIMIENTOS!$F:$F,MOVIMIENTOS!$A:$A,DATE(PORTADA!$B$2,7,1),MOVIMIENTOS!$C:$C,T$4))</f>
        <v/>
      </c>
      <c r="U5" s="22">
        <f>IF(DAY(DATE(PORTADA!$B$2,7,1))&lt;&gt;1,"",SUMIFS(MOVIMIENTOS!$F:$F,MOVIMIENTOS!$A:$A,DATE(PORTADA!$B$2,7,1),MOVIMIENTOS!$C:$C,U$4))</f>
        <v/>
      </c>
      <c r="V5" s="22">
        <f>IF(DAY(DATE(PORTADA!$B$2,7,1))&lt;&gt;1,"",SUMIFS(MOVIMIENTOS!$F:$F,MOVIMIENTOS!$A:$A,DATE(PORTADA!$B$2,7,1),MOVIMIENTOS!$C:$C,V$4))</f>
        <v/>
      </c>
      <c r="W5" s="22">
        <f>IF(DAY(DATE(PORTADA!$B$2,7,1))&lt;&gt;1,"",SUMIFS(MOVIMIENTOS!$F:$F,MOVIMIENTOS!$A:$A,DATE(PORTADA!$B$2,7,1),MOVIMIENTOS!$C:$C,W$4))</f>
        <v/>
      </c>
      <c r="X5" s="22">
        <f>IF(DAY(DATE(PORTADA!$B$2,7,1))&lt;&gt;1,"",SUMIFS(MOVIMIENTOS!$F:$F,MOVIMIENTOS!$A:$A,DATE(PORTADA!$B$2,7,1),MOVIMIENTOS!$C:$C,X$4))</f>
        <v/>
      </c>
      <c r="Y5" s="22">
        <f>IF(DAY(DATE(PORTADA!$B$2,7,1))&lt;&gt;1,"",SUMIFS(MOVIMIENTOS!$F:$F,MOVIMIENTOS!$A:$A,DATE(PORTADA!$B$2,7,1),MOVIMIENTOS!$C:$C,Y$4))</f>
        <v/>
      </c>
      <c r="Z5" s="22">
        <f>IF(DAY(DATE(PORTADA!$B$2,7,1))&lt;&gt;1,"",SUMIFS(MOVIMIENTOS!$F:$F,MOVIMIENTOS!$A:$A,DATE(PORTADA!$B$2,7,1),MOVIMIENTOS!$C:$C,Z$4))</f>
        <v/>
      </c>
      <c r="AA5" s="22">
        <f>IF(DAY(DATE(PORTADA!$B$2,7,1))&lt;&gt;1,"",SUM(T5:Z5))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SUMIFS(MOVIMIENTOS!$F:$F,MOVIMIENTOS!$A:$A,"&gt;="&amp;DATE(PORTADA!$B$2,7,1),MOVIMIENTOS!$A:$A,"&lt;="&amp;EOMONTH(DATE(PORTADA!$B$2,7,1),0),MOVIMIENTOS!$D:$D,$B6)</f>
        <v/>
      </c>
      <c r="E6" s="8">
        <f>D6-C6</f>
        <v/>
      </c>
      <c r="F6" s="9">
        <f>IFERROR(D6/C6,"")</f>
        <v/>
      </c>
      <c r="S6" s="21">
        <f>IF(DAY(DATE(PORTADA!$B$2,7,2))&lt;&gt;2,"",2)</f>
        <v/>
      </c>
      <c r="T6" s="22">
        <f>IF(DAY(DATE(PORTADA!$B$2,7,2))&lt;&gt;2,"",SUMIFS(MOVIMIENTOS!$F:$F,MOVIMIENTOS!$A:$A,DATE(PORTADA!$B$2,7,2),MOVIMIENTOS!$C:$C,T$4))</f>
        <v/>
      </c>
      <c r="U6" s="22">
        <f>IF(DAY(DATE(PORTADA!$B$2,7,2))&lt;&gt;2,"",SUMIFS(MOVIMIENTOS!$F:$F,MOVIMIENTOS!$A:$A,DATE(PORTADA!$B$2,7,2),MOVIMIENTOS!$C:$C,U$4))</f>
        <v/>
      </c>
      <c r="V6" s="22">
        <f>IF(DAY(DATE(PORTADA!$B$2,7,2))&lt;&gt;2,"",SUMIFS(MOVIMIENTOS!$F:$F,MOVIMIENTOS!$A:$A,DATE(PORTADA!$B$2,7,2),MOVIMIENTOS!$C:$C,V$4))</f>
        <v/>
      </c>
      <c r="W6" s="22">
        <f>IF(DAY(DATE(PORTADA!$B$2,7,2))&lt;&gt;2,"",SUMIFS(MOVIMIENTOS!$F:$F,MOVIMIENTOS!$A:$A,DATE(PORTADA!$B$2,7,2),MOVIMIENTOS!$C:$C,W$4))</f>
        <v/>
      </c>
      <c r="X6" s="22">
        <f>IF(DAY(DATE(PORTADA!$B$2,7,2))&lt;&gt;2,"",SUMIFS(MOVIMIENTOS!$F:$F,MOVIMIENTOS!$A:$A,DATE(PORTADA!$B$2,7,2),MOVIMIENTOS!$C:$C,X$4))</f>
        <v/>
      </c>
      <c r="Y6" s="22">
        <f>IF(DAY(DATE(PORTADA!$B$2,7,2))&lt;&gt;2,"",SUMIFS(MOVIMIENTOS!$F:$F,MOVIMIENTOS!$A:$A,DATE(PORTADA!$B$2,7,2),MOVIMIENTOS!$C:$C,Y$4))</f>
        <v/>
      </c>
      <c r="Z6" s="22">
        <f>IF(DAY(DATE(PORTADA!$B$2,7,2))&lt;&gt;2,"",SUMIFS(MOVIMIENTOS!$F:$F,MOVIMIENTOS!$A:$A,DATE(PORTADA!$B$2,7,2),MOVIMIENTOS!$C:$C,Z$4))</f>
        <v/>
      </c>
      <c r="AA6" s="22">
        <f>IF(DAY(DATE(PORTADA!$B$2,7,2))&lt;&gt;2,"",SUM(T6:Z6))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SUMIFS(MOVIMIENTOS!$F:$F,MOVIMIENTOS!$A:$A,"&gt;="&amp;DATE(PORTADA!$B$2,7,1),MOVIMIENTOS!$A:$A,"&lt;="&amp;EOMONTH(DATE(PORTADA!$B$2,7,1),0),MOVIMIENTOS!$D:$D,$B7)</f>
        <v/>
      </c>
      <c r="E7" s="8">
        <f>D7-C7</f>
        <v/>
      </c>
      <c r="F7" s="9">
        <f>IFERROR(D7/C7,"")</f>
        <v/>
      </c>
      <c r="S7" s="21">
        <f>IF(DAY(DATE(PORTADA!$B$2,7,3))&lt;&gt;3,"",3)</f>
        <v/>
      </c>
      <c r="T7" s="22">
        <f>IF(DAY(DATE(PORTADA!$B$2,7,3))&lt;&gt;3,"",SUMIFS(MOVIMIENTOS!$F:$F,MOVIMIENTOS!$A:$A,DATE(PORTADA!$B$2,7,3),MOVIMIENTOS!$C:$C,T$4))</f>
        <v/>
      </c>
      <c r="U7" s="22">
        <f>IF(DAY(DATE(PORTADA!$B$2,7,3))&lt;&gt;3,"",SUMIFS(MOVIMIENTOS!$F:$F,MOVIMIENTOS!$A:$A,DATE(PORTADA!$B$2,7,3),MOVIMIENTOS!$C:$C,U$4))</f>
        <v/>
      </c>
      <c r="V7" s="22">
        <f>IF(DAY(DATE(PORTADA!$B$2,7,3))&lt;&gt;3,"",SUMIFS(MOVIMIENTOS!$F:$F,MOVIMIENTOS!$A:$A,DATE(PORTADA!$B$2,7,3),MOVIMIENTOS!$C:$C,V$4))</f>
        <v/>
      </c>
      <c r="W7" s="22">
        <f>IF(DAY(DATE(PORTADA!$B$2,7,3))&lt;&gt;3,"",SUMIFS(MOVIMIENTOS!$F:$F,MOVIMIENTOS!$A:$A,DATE(PORTADA!$B$2,7,3),MOVIMIENTOS!$C:$C,W$4))</f>
        <v/>
      </c>
      <c r="X7" s="22">
        <f>IF(DAY(DATE(PORTADA!$B$2,7,3))&lt;&gt;3,"",SUMIFS(MOVIMIENTOS!$F:$F,MOVIMIENTOS!$A:$A,DATE(PORTADA!$B$2,7,3),MOVIMIENTOS!$C:$C,X$4))</f>
        <v/>
      </c>
      <c r="Y7" s="22">
        <f>IF(DAY(DATE(PORTADA!$B$2,7,3))&lt;&gt;3,"",SUMIFS(MOVIMIENTOS!$F:$F,MOVIMIENTOS!$A:$A,DATE(PORTADA!$B$2,7,3),MOVIMIENTOS!$C:$C,Y$4))</f>
        <v/>
      </c>
      <c r="Z7" s="22">
        <f>IF(DAY(DATE(PORTADA!$B$2,7,3))&lt;&gt;3,"",SUMIFS(MOVIMIENTOS!$F:$F,MOVIMIENTOS!$A:$A,DATE(PORTADA!$B$2,7,3),MOVIMIENTOS!$C:$C,Z$4))</f>
        <v/>
      </c>
      <c r="AA7" s="22">
        <f>IF(DAY(DATE(PORTADA!$B$2,7,3))&lt;&gt;3,"",SUM(T7:Z7))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SUMIFS(MOVIMIENTOS!$F:$F,MOVIMIENTOS!$A:$A,"&gt;="&amp;DATE(PORTADA!$B$2,7,1),MOVIMIENTOS!$A:$A,"&lt;="&amp;EOMONTH(DATE(PORTADA!$B$2,7,1),0),MOVIMIENTOS!$D:$D,$B8)</f>
        <v/>
      </c>
      <c r="E8" s="8">
        <f>D8-C8</f>
        <v/>
      </c>
      <c r="F8" s="9">
        <f>IFERROR(D8/C8,"")</f>
        <v/>
      </c>
      <c r="S8" s="21">
        <f>IF(DAY(DATE(PORTADA!$B$2,7,4))&lt;&gt;4,"",4)</f>
        <v/>
      </c>
      <c r="T8" s="22">
        <f>IF(DAY(DATE(PORTADA!$B$2,7,4))&lt;&gt;4,"",SUMIFS(MOVIMIENTOS!$F:$F,MOVIMIENTOS!$A:$A,DATE(PORTADA!$B$2,7,4),MOVIMIENTOS!$C:$C,T$4))</f>
        <v/>
      </c>
      <c r="U8" s="22">
        <f>IF(DAY(DATE(PORTADA!$B$2,7,4))&lt;&gt;4,"",SUMIFS(MOVIMIENTOS!$F:$F,MOVIMIENTOS!$A:$A,DATE(PORTADA!$B$2,7,4),MOVIMIENTOS!$C:$C,U$4))</f>
        <v/>
      </c>
      <c r="V8" s="22">
        <f>IF(DAY(DATE(PORTADA!$B$2,7,4))&lt;&gt;4,"",SUMIFS(MOVIMIENTOS!$F:$F,MOVIMIENTOS!$A:$A,DATE(PORTADA!$B$2,7,4),MOVIMIENTOS!$C:$C,V$4))</f>
        <v/>
      </c>
      <c r="W8" s="22">
        <f>IF(DAY(DATE(PORTADA!$B$2,7,4))&lt;&gt;4,"",SUMIFS(MOVIMIENTOS!$F:$F,MOVIMIENTOS!$A:$A,DATE(PORTADA!$B$2,7,4),MOVIMIENTOS!$C:$C,W$4))</f>
        <v/>
      </c>
      <c r="X8" s="22">
        <f>IF(DAY(DATE(PORTADA!$B$2,7,4))&lt;&gt;4,"",SUMIFS(MOVIMIENTOS!$F:$F,MOVIMIENTOS!$A:$A,DATE(PORTADA!$B$2,7,4),MOVIMIENTOS!$C:$C,X$4))</f>
        <v/>
      </c>
      <c r="Y8" s="22">
        <f>IF(DAY(DATE(PORTADA!$B$2,7,4))&lt;&gt;4,"",SUMIFS(MOVIMIENTOS!$F:$F,MOVIMIENTOS!$A:$A,DATE(PORTADA!$B$2,7,4),MOVIMIENTOS!$C:$C,Y$4))</f>
        <v/>
      </c>
      <c r="Z8" s="22">
        <f>IF(DAY(DATE(PORTADA!$B$2,7,4))&lt;&gt;4,"",SUMIFS(MOVIMIENTOS!$F:$F,MOVIMIENTOS!$A:$A,DATE(PORTADA!$B$2,7,4),MOVIMIENTOS!$C:$C,Z$4))</f>
        <v/>
      </c>
      <c r="AA8" s="22">
        <f>IF(DAY(DATE(PORTADA!$B$2,7,4))&lt;&gt;4,"",SUM(T8:Z8))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SUMIFS(MOVIMIENTOS!$F:$F,MOVIMIENTOS!$A:$A,"&gt;="&amp;DATE(PORTADA!$B$2,7,1),MOVIMIENTOS!$A:$A,"&lt;="&amp;EOMONTH(DATE(PORTADA!$B$2,7,1),0),MOVIMIENTOS!$D:$D,$B9)</f>
        <v/>
      </c>
      <c r="E9" s="8">
        <f>D9-C9</f>
        <v/>
      </c>
      <c r="F9" s="9">
        <f>IFERROR(D9/C9,"")</f>
        <v/>
      </c>
      <c r="S9" s="21">
        <f>IF(DAY(DATE(PORTADA!$B$2,7,5))&lt;&gt;5,"",5)</f>
        <v/>
      </c>
      <c r="T9" s="22">
        <f>IF(DAY(DATE(PORTADA!$B$2,7,5))&lt;&gt;5,"",SUMIFS(MOVIMIENTOS!$F:$F,MOVIMIENTOS!$A:$A,DATE(PORTADA!$B$2,7,5),MOVIMIENTOS!$C:$C,T$4))</f>
        <v/>
      </c>
      <c r="U9" s="22">
        <f>IF(DAY(DATE(PORTADA!$B$2,7,5))&lt;&gt;5,"",SUMIFS(MOVIMIENTOS!$F:$F,MOVIMIENTOS!$A:$A,DATE(PORTADA!$B$2,7,5),MOVIMIENTOS!$C:$C,U$4))</f>
        <v/>
      </c>
      <c r="V9" s="22">
        <f>IF(DAY(DATE(PORTADA!$B$2,7,5))&lt;&gt;5,"",SUMIFS(MOVIMIENTOS!$F:$F,MOVIMIENTOS!$A:$A,DATE(PORTADA!$B$2,7,5),MOVIMIENTOS!$C:$C,V$4))</f>
        <v/>
      </c>
      <c r="W9" s="22">
        <f>IF(DAY(DATE(PORTADA!$B$2,7,5))&lt;&gt;5,"",SUMIFS(MOVIMIENTOS!$F:$F,MOVIMIENTOS!$A:$A,DATE(PORTADA!$B$2,7,5),MOVIMIENTOS!$C:$C,W$4))</f>
        <v/>
      </c>
      <c r="X9" s="22">
        <f>IF(DAY(DATE(PORTADA!$B$2,7,5))&lt;&gt;5,"",SUMIFS(MOVIMIENTOS!$F:$F,MOVIMIENTOS!$A:$A,DATE(PORTADA!$B$2,7,5),MOVIMIENTOS!$C:$C,X$4))</f>
        <v/>
      </c>
      <c r="Y9" s="22">
        <f>IF(DAY(DATE(PORTADA!$B$2,7,5))&lt;&gt;5,"",SUMIFS(MOVIMIENTOS!$F:$F,MOVIMIENTOS!$A:$A,DATE(PORTADA!$B$2,7,5),MOVIMIENTOS!$C:$C,Y$4))</f>
        <v/>
      </c>
      <c r="Z9" s="22">
        <f>IF(DAY(DATE(PORTADA!$B$2,7,5))&lt;&gt;5,"",SUMIFS(MOVIMIENTOS!$F:$F,MOVIMIENTOS!$A:$A,DATE(PORTADA!$B$2,7,5),MOVIMIENTOS!$C:$C,Z$4))</f>
        <v/>
      </c>
      <c r="AA9" s="22">
        <f>IF(DAY(DATE(PORTADA!$B$2,7,5))&lt;&gt;5,"",SUM(T9:Z9))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SUMIFS(MOVIMIENTOS!$F:$F,MOVIMIENTOS!$A:$A,"&gt;="&amp;DATE(PORTADA!$B$2,7,1),MOVIMIENTOS!$A:$A,"&lt;="&amp;EOMONTH(DATE(PORTADA!$B$2,7,1),0),MOVIMIENTOS!$D:$D,$B10)</f>
        <v/>
      </c>
      <c r="E10" s="8">
        <f>D10-C10</f>
        <v/>
      </c>
      <c r="F10" s="9">
        <f>IFERROR(D10/C10,"")</f>
        <v/>
      </c>
      <c r="S10" s="21">
        <f>IF(DAY(DATE(PORTADA!$B$2,7,6))&lt;&gt;6,"",6)</f>
        <v/>
      </c>
      <c r="T10" s="22">
        <f>IF(DAY(DATE(PORTADA!$B$2,7,6))&lt;&gt;6,"",SUMIFS(MOVIMIENTOS!$F:$F,MOVIMIENTOS!$A:$A,DATE(PORTADA!$B$2,7,6),MOVIMIENTOS!$C:$C,T$4))</f>
        <v/>
      </c>
      <c r="U10" s="22">
        <f>IF(DAY(DATE(PORTADA!$B$2,7,6))&lt;&gt;6,"",SUMIFS(MOVIMIENTOS!$F:$F,MOVIMIENTOS!$A:$A,DATE(PORTADA!$B$2,7,6),MOVIMIENTOS!$C:$C,U$4))</f>
        <v/>
      </c>
      <c r="V10" s="22">
        <f>IF(DAY(DATE(PORTADA!$B$2,7,6))&lt;&gt;6,"",SUMIFS(MOVIMIENTOS!$F:$F,MOVIMIENTOS!$A:$A,DATE(PORTADA!$B$2,7,6),MOVIMIENTOS!$C:$C,V$4))</f>
        <v/>
      </c>
      <c r="W10" s="22">
        <f>IF(DAY(DATE(PORTADA!$B$2,7,6))&lt;&gt;6,"",SUMIFS(MOVIMIENTOS!$F:$F,MOVIMIENTOS!$A:$A,DATE(PORTADA!$B$2,7,6),MOVIMIENTOS!$C:$C,W$4))</f>
        <v/>
      </c>
      <c r="X10" s="22">
        <f>IF(DAY(DATE(PORTADA!$B$2,7,6))&lt;&gt;6,"",SUMIFS(MOVIMIENTOS!$F:$F,MOVIMIENTOS!$A:$A,DATE(PORTADA!$B$2,7,6),MOVIMIENTOS!$C:$C,X$4))</f>
        <v/>
      </c>
      <c r="Y10" s="22">
        <f>IF(DAY(DATE(PORTADA!$B$2,7,6))&lt;&gt;6,"",SUMIFS(MOVIMIENTOS!$F:$F,MOVIMIENTOS!$A:$A,DATE(PORTADA!$B$2,7,6),MOVIMIENTOS!$C:$C,Y$4))</f>
        <v/>
      </c>
      <c r="Z10" s="22">
        <f>IF(DAY(DATE(PORTADA!$B$2,7,6))&lt;&gt;6,"",SUMIFS(MOVIMIENTOS!$F:$F,MOVIMIENTOS!$A:$A,DATE(PORTADA!$B$2,7,6),MOVIMIENTOS!$C:$C,Z$4))</f>
        <v/>
      </c>
      <c r="AA10" s="22">
        <f>IF(DAY(DATE(PORTADA!$B$2,7,6))&lt;&gt;6,"",SUM(T10:Z10))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SUMIFS(MOVIMIENTOS!$F:$F,MOVIMIENTOS!$A:$A,"&gt;="&amp;DATE(PORTADA!$B$2,7,1),MOVIMIENTOS!$A:$A,"&lt;="&amp;EOMONTH(DATE(PORTADA!$B$2,7,1),0),MOVIMIENTOS!$D:$D,$B11)</f>
        <v/>
      </c>
      <c r="E11" s="8">
        <f>D11-C11</f>
        <v/>
      </c>
      <c r="F11" s="9">
        <f>IFERROR(D11/C11,"")</f>
        <v/>
      </c>
      <c r="S11" s="21">
        <f>IF(DAY(DATE(PORTADA!$B$2,7,7))&lt;&gt;7,"",7)</f>
        <v/>
      </c>
      <c r="T11" s="22">
        <f>IF(DAY(DATE(PORTADA!$B$2,7,7))&lt;&gt;7,"",SUMIFS(MOVIMIENTOS!$F:$F,MOVIMIENTOS!$A:$A,DATE(PORTADA!$B$2,7,7),MOVIMIENTOS!$C:$C,T$4))</f>
        <v/>
      </c>
      <c r="U11" s="22">
        <f>IF(DAY(DATE(PORTADA!$B$2,7,7))&lt;&gt;7,"",SUMIFS(MOVIMIENTOS!$F:$F,MOVIMIENTOS!$A:$A,DATE(PORTADA!$B$2,7,7),MOVIMIENTOS!$C:$C,U$4))</f>
        <v/>
      </c>
      <c r="V11" s="22">
        <f>IF(DAY(DATE(PORTADA!$B$2,7,7))&lt;&gt;7,"",SUMIFS(MOVIMIENTOS!$F:$F,MOVIMIENTOS!$A:$A,DATE(PORTADA!$B$2,7,7),MOVIMIENTOS!$C:$C,V$4))</f>
        <v/>
      </c>
      <c r="W11" s="22">
        <f>IF(DAY(DATE(PORTADA!$B$2,7,7))&lt;&gt;7,"",SUMIFS(MOVIMIENTOS!$F:$F,MOVIMIENTOS!$A:$A,DATE(PORTADA!$B$2,7,7),MOVIMIENTOS!$C:$C,W$4))</f>
        <v/>
      </c>
      <c r="X11" s="22">
        <f>IF(DAY(DATE(PORTADA!$B$2,7,7))&lt;&gt;7,"",SUMIFS(MOVIMIENTOS!$F:$F,MOVIMIENTOS!$A:$A,DATE(PORTADA!$B$2,7,7),MOVIMIENTOS!$C:$C,X$4))</f>
        <v/>
      </c>
      <c r="Y11" s="22">
        <f>IF(DAY(DATE(PORTADA!$B$2,7,7))&lt;&gt;7,"",SUMIFS(MOVIMIENTOS!$F:$F,MOVIMIENTOS!$A:$A,DATE(PORTADA!$B$2,7,7),MOVIMIENTOS!$C:$C,Y$4))</f>
        <v/>
      </c>
      <c r="Z11" s="22">
        <f>IF(DAY(DATE(PORTADA!$B$2,7,7))&lt;&gt;7,"",SUMIFS(MOVIMIENTOS!$F:$F,MOVIMIENTOS!$A:$A,DATE(PORTADA!$B$2,7,7),MOVIMIENTOS!$C:$C,Z$4))</f>
        <v/>
      </c>
      <c r="AA11" s="22">
        <f>IF(DAY(DATE(PORTADA!$B$2,7,7))&lt;&gt;7,"",SUM(T11:Z11))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SUMIFS(MOVIMIENTOS!$F:$F,MOVIMIENTOS!$A:$A,"&gt;="&amp;DATE(PORTADA!$B$2,7,1),MOVIMIENTOS!$A:$A,"&lt;="&amp;EOMONTH(DATE(PORTADA!$B$2,7,1),0),MOVIMIENTOS!$D:$D,$B12)</f>
        <v/>
      </c>
      <c r="E12" s="8">
        <f>D12-C12</f>
        <v/>
      </c>
      <c r="F12" s="9">
        <f>IFERROR(D12/C12,"")</f>
        <v/>
      </c>
      <c r="S12" s="21">
        <f>IF(DAY(DATE(PORTADA!$B$2,7,8))&lt;&gt;8,"",8)</f>
        <v/>
      </c>
      <c r="T12" s="22">
        <f>IF(DAY(DATE(PORTADA!$B$2,7,8))&lt;&gt;8,"",SUMIFS(MOVIMIENTOS!$F:$F,MOVIMIENTOS!$A:$A,DATE(PORTADA!$B$2,7,8),MOVIMIENTOS!$C:$C,T$4))</f>
        <v/>
      </c>
      <c r="U12" s="22">
        <f>IF(DAY(DATE(PORTADA!$B$2,7,8))&lt;&gt;8,"",SUMIFS(MOVIMIENTOS!$F:$F,MOVIMIENTOS!$A:$A,DATE(PORTADA!$B$2,7,8),MOVIMIENTOS!$C:$C,U$4))</f>
        <v/>
      </c>
      <c r="V12" s="22">
        <f>IF(DAY(DATE(PORTADA!$B$2,7,8))&lt;&gt;8,"",SUMIFS(MOVIMIENTOS!$F:$F,MOVIMIENTOS!$A:$A,DATE(PORTADA!$B$2,7,8),MOVIMIENTOS!$C:$C,V$4))</f>
        <v/>
      </c>
      <c r="W12" s="22">
        <f>IF(DAY(DATE(PORTADA!$B$2,7,8))&lt;&gt;8,"",SUMIFS(MOVIMIENTOS!$F:$F,MOVIMIENTOS!$A:$A,DATE(PORTADA!$B$2,7,8),MOVIMIENTOS!$C:$C,W$4))</f>
        <v/>
      </c>
      <c r="X12" s="22">
        <f>IF(DAY(DATE(PORTADA!$B$2,7,8))&lt;&gt;8,"",SUMIFS(MOVIMIENTOS!$F:$F,MOVIMIENTOS!$A:$A,DATE(PORTADA!$B$2,7,8),MOVIMIENTOS!$C:$C,X$4))</f>
        <v/>
      </c>
      <c r="Y12" s="22">
        <f>IF(DAY(DATE(PORTADA!$B$2,7,8))&lt;&gt;8,"",SUMIFS(MOVIMIENTOS!$F:$F,MOVIMIENTOS!$A:$A,DATE(PORTADA!$B$2,7,8),MOVIMIENTOS!$C:$C,Y$4))</f>
        <v/>
      </c>
      <c r="Z12" s="22">
        <f>IF(DAY(DATE(PORTADA!$B$2,7,8))&lt;&gt;8,"",SUMIFS(MOVIMIENTOS!$F:$F,MOVIMIENTOS!$A:$A,DATE(PORTADA!$B$2,7,8),MOVIMIENTOS!$C:$C,Z$4))</f>
        <v/>
      </c>
      <c r="AA12" s="22">
        <f>IF(DAY(DATE(PORTADA!$B$2,7,8))&lt;&gt;8,"",SUM(T12:Z12))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IF(DAY(DATE(PORTADA!$B$2,7,9))&lt;&gt;9,"",9)</f>
        <v/>
      </c>
      <c r="T13" s="22">
        <f>IF(DAY(DATE(PORTADA!$B$2,7,9))&lt;&gt;9,"",SUMIFS(MOVIMIENTOS!$F:$F,MOVIMIENTOS!$A:$A,DATE(PORTADA!$B$2,7,9),MOVIMIENTOS!$C:$C,T$4))</f>
        <v/>
      </c>
      <c r="U13" s="22">
        <f>IF(DAY(DATE(PORTADA!$B$2,7,9))&lt;&gt;9,"",SUMIFS(MOVIMIENTOS!$F:$F,MOVIMIENTOS!$A:$A,DATE(PORTADA!$B$2,7,9),MOVIMIENTOS!$C:$C,U$4))</f>
        <v/>
      </c>
      <c r="V13" s="22">
        <f>IF(DAY(DATE(PORTADA!$B$2,7,9))&lt;&gt;9,"",SUMIFS(MOVIMIENTOS!$F:$F,MOVIMIENTOS!$A:$A,DATE(PORTADA!$B$2,7,9),MOVIMIENTOS!$C:$C,V$4))</f>
        <v/>
      </c>
      <c r="W13" s="22">
        <f>IF(DAY(DATE(PORTADA!$B$2,7,9))&lt;&gt;9,"",SUMIFS(MOVIMIENTOS!$F:$F,MOVIMIENTOS!$A:$A,DATE(PORTADA!$B$2,7,9),MOVIMIENTOS!$C:$C,W$4))</f>
        <v/>
      </c>
      <c r="X13" s="22">
        <f>IF(DAY(DATE(PORTADA!$B$2,7,9))&lt;&gt;9,"",SUMIFS(MOVIMIENTOS!$F:$F,MOVIMIENTOS!$A:$A,DATE(PORTADA!$B$2,7,9),MOVIMIENTOS!$C:$C,X$4))</f>
        <v/>
      </c>
      <c r="Y13" s="22">
        <f>IF(DAY(DATE(PORTADA!$B$2,7,9))&lt;&gt;9,"",SUMIFS(MOVIMIENTOS!$F:$F,MOVIMIENTOS!$A:$A,DATE(PORTADA!$B$2,7,9),MOVIMIENTOS!$C:$C,Y$4))</f>
        <v/>
      </c>
      <c r="Z13" s="22">
        <f>IF(DAY(DATE(PORTADA!$B$2,7,9))&lt;&gt;9,"",SUMIFS(MOVIMIENTOS!$F:$F,MOVIMIENTOS!$A:$A,DATE(PORTADA!$B$2,7,9),MOVIMIENTOS!$C:$C,Z$4))</f>
        <v/>
      </c>
      <c r="AA13" s="22">
        <f>IF(DAY(DATE(PORTADA!$B$2,7,9))&lt;&gt;9,"",SUM(T13:Z13))</f>
        <v/>
      </c>
    </row>
    <row r="14">
      <c r="S14" s="21">
        <f>IF(DAY(DATE(PORTADA!$B$2,7,10))&lt;&gt;10,"",10)</f>
        <v/>
      </c>
      <c r="T14" s="22">
        <f>IF(DAY(DATE(PORTADA!$B$2,7,10))&lt;&gt;10,"",SUMIFS(MOVIMIENTOS!$F:$F,MOVIMIENTOS!$A:$A,DATE(PORTADA!$B$2,7,10),MOVIMIENTOS!$C:$C,T$4))</f>
        <v/>
      </c>
      <c r="U14" s="22">
        <f>IF(DAY(DATE(PORTADA!$B$2,7,10))&lt;&gt;10,"",SUMIFS(MOVIMIENTOS!$F:$F,MOVIMIENTOS!$A:$A,DATE(PORTADA!$B$2,7,10),MOVIMIENTOS!$C:$C,U$4))</f>
        <v/>
      </c>
      <c r="V14" s="22">
        <f>IF(DAY(DATE(PORTADA!$B$2,7,10))&lt;&gt;10,"",SUMIFS(MOVIMIENTOS!$F:$F,MOVIMIENTOS!$A:$A,DATE(PORTADA!$B$2,7,10),MOVIMIENTOS!$C:$C,V$4))</f>
        <v/>
      </c>
      <c r="W14" s="22">
        <f>IF(DAY(DATE(PORTADA!$B$2,7,10))&lt;&gt;10,"",SUMIFS(MOVIMIENTOS!$F:$F,MOVIMIENTOS!$A:$A,DATE(PORTADA!$B$2,7,10),MOVIMIENTOS!$C:$C,W$4))</f>
        <v/>
      </c>
      <c r="X14" s="22">
        <f>IF(DAY(DATE(PORTADA!$B$2,7,10))&lt;&gt;10,"",SUMIFS(MOVIMIENTOS!$F:$F,MOVIMIENTOS!$A:$A,DATE(PORTADA!$B$2,7,10),MOVIMIENTOS!$C:$C,X$4))</f>
        <v/>
      </c>
      <c r="Y14" s="22">
        <f>IF(DAY(DATE(PORTADA!$B$2,7,10))&lt;&gt;10,"",SUMIFS(MOVIMIENTOS!$F:$F,MOVIMIENTOS!$A:$A,DATE(PORTADA!$B$2,7,10),MOVIMIENTOS!$C:$C,Y$4))</f>
        <v/>
      </c>
      <c r="Z14" s="22">
        <f>IF(DAY(DATE(PORTADA!$B$2,7,10))&lt;&gt;10,"",SUMIFS(MOVIMIENTOS!$F:$F,MOVIMIENTOS!$A:$A,DATE(PORTADA!$B$2,7,10),MOVIMIENTOS!$C:$C,Z$4))</f>
        <v/>
      </c>
      <c r="AA14" s="22">
        <f>IF(DAY(DATE(PORTADA!$B$2,7,10))&lt;&gt;10,"",SUM(T14:Z14))</f>
        <v/>
      </c>
    </row>
    <row r="15">
      <c r="A15" s="2" t="inlineStr">
        <is>
          <t>EGRESOS</t>
        </is>
      </c>
      <c r="S15" s="21">
        <f>IF(DAY(DATE(PORTADA!$B$2,7,11))&lt;&gt;11,"",11)</f>
        <v/>
      </c>
      <c r="T15" s="22">
        <f>IF(DAY(DATE(PORTADA!$B$2,7,11))&lt;&gt;11,"",SUMIFS(MOVIMIENTOS!$F:$F,MOVIMIENTOS!$A:$A,DATE(PORTADA!$B$2,7,11),MOVIMIENTOS!$C:$C,T$4))</f>
        <v/>
      </c>
      <c r="U15" s="22">
        <f>IF(DAY(DATE(PORTADA!$B$2,7,11))&lt;&gt;11,"",SUMIFS(MOVIMIENTOS!$F:$F,MOVIMIENTOS!$A:$A,DATE(PORTADA!$B$2,7,11),MOVIMIENTOS!$C:$C,U$4))</f>
        <v/>
      </c>
      <c r="V15" s="22">
        <f>IF(DAY(DATE(PORTADA!$B$2,7,11))&lt;&gt;11,"",SUMIFS(MOVIMIENTOS!$F:$F,MOVIMIENTOS!$A:$A,DATE(PORTADA!$B$2,7,11),MOVIMIENTOS!$C:$C,V$4))</f>
        <v/>
      </c>
      <c r="W15" s="22">
        <f>IF(DAY(DATE(PORTADA!$B$2,7,11))&lt;&gt;11,"",SUMIFS(MOVIMIENTOS!$F:$F,MOVIMIENTOS!$A:$A,DATE(PORTADA!$B$2,7,11),MOVIMIENTOS!$C:$C,W$4))</f>
        <v/>
      </c>
      <c r="X15" s="22">
        <f>IF(DAY(DATE(PORTADA!$B$2,7,11))&lt;&gt;11,"",SUMIFS(MOVIMIENTOS!$F:$F,MOVIMIENTOS!$A:$A,DATE(PORTADA!$B$2,7,11),MOVIMIENTOS!$C:$C,X$4))</f>
        <v/>
      </c>
      <c r="Y15" s="22">
        <f>IF(DAY(DATE(PORTADA!$B$2,7,11))&lt;&gt;11,"",SUMIFS(MOVIMIENTOS!$F:$F,MOVIMIENTOS!$A:$A,DATE(PORTADA!$B$2,7,11),MOVIMIENTOS!$C:$C,Y$4))</f>
        <v/>
      </c>
      <c r="Z15" s="22">
        <f>IF(DAY(DATE(PORTADA!$B$2,7,11))&lt;&gt;11,"",SUMIFS(MOVIMIENTOS!$F:$F,MOVIMIENTOS!$A:$A,DATE(PORTADA!$B$2,7,11),MOVIMIENTOS!$C:$C,Z$4))</f>
        <v/>
      </c>
      <c r="AA15" s="22">
        <f>IF(DAY(DATE(PORTADA!$B$2,7,11))&lt;&gt;11,"",SUM(T15:Z15))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IF(DAY(DATE(PORTADA!$B$2,7,12))&lt;&gt;12,"",12)</f>
        <v/>
      </c>
      <c r="T16" s="22">
        <f>IF(DAY(DATE(PORTADA!$B$2,7,12))&lt;&gt;12,"",SUMIFS(MOVIMIENTOS!$F:$F,MOVIMIENTOS!$A:$A,DATE(PORTADA!$B$2,7,12),MOVIMIENTOS!$C:$C,T$4))</f>
        <v/>
      </c>
      <c r="U16" s="22">
        <f>IF(DAY(DATE(PORTADA!$B$2,7,12))&lt;&gt;12,"",SUMIFS(MOVIMIENTOS!$F:$F,MOVIMIENTOS!$A:$A,DATE(PORTADA!$B$2,7,12),MOVIMIENTOS!$C:$C,U$4))</f>
        <v/>
      </c>
      <c r="V16" s="22">
        <f>IF(DAY(DATE(PORTADA!$B$2,7,12))&lt;&gt;12,"",SUMIFS(MOVIMIENTOS!$F:$F,MOVIMIENTOS!$A:$A,DATE(PORTADA!$B$2,7,12),MOVIMIENTOS!$C:$C,V$4))</f>
        <v/>
      </c>
      <c r="W16" s="22">
        <f>IF(DAY(DATE(PORTADA!$B$2,7,12))&lt;&gt;12,"",SUMIFS(MOVIMIENTOS!$F:$F,MOVIMIENTOS!$A:$A,DATE(PORTADA!$B$2,7,12),MOVIMIENTOS!$C:$C,W$4))</f>
        <v/>
      </c>
      <c r="X16" s="22">
        <f>IF(DAY(DATE(PORTADA!$B$2,7,12))&lt;&gt;12,"",SUMIFS(MOVIMIENTOS!$F:$F,MOVIMIENTOS!$A:$A,DATE(PORTADA!$B$2,7,12),MOVIMIENTOS!$C:$C,X$4))</f>
        <v/>
      </c>
      <c r="Y16" s="22">
        <f>IF(DAY(DATE(PORTADA!$B$2,7,12))&lt;&gt;12,"",SUMIFS(MOVIMIENTOS!$F:$F,MOVIMIENTOS!$A:$A,DATE(PORTADA!$B$2,7,12),MOVIMIENTOS!$C:$C,Y$4))</f>
        <v/>
      </c>
      <c r="Z16" s="22">
        <f>IF(DAY(DATE(PORTADA!$B$2,7,12))&lt;&gt;12,"",SUMIFS(MOVIMIENTOS!$F:$F,MOVIMIENTOS!$A:$A,DATE(PORTADA!$B$2,7,12),MOVIMIENTOS!$C:$C,Z$4))</f>
        <v/>
      </c>
      <c r="AA16" s="22">
        <f>IF(DAY(DATE(PORTADA!$B$2,7,12))&lt;&gt;12,"",SUM(T16:Z16))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SUMIFS(MOVIMIENTOS!$F:$F,MOVIMIENTOS!$A:$A,"&gt;="&amp;DATE(PORTADA!$B$2,7,1),MOVIMIENTOS!$A:$A,"&lt;="&amp;EOMONTH(DATE(PORTADA!$B$2,7,1),0),MOVIMIENTOS!$D:$D,$B17)</f>
        <v/>
      </c>
      <c r="E17" s="8">
        <f>C17-D17</f>
        <v/>
      </c>
      <c r="F17" s="9">
        <f>IFERROR(D17/C17,"")</f>
        <v/>
      </c>
      <c r="S17" s="21">
        <f>IF(DAY(DATE(PORTADA!$B$2,7,13))&lt;&gt;13,"",13)</f>
        <v/>
      </c>
      <c r="T17" s="22">
        <f>IF(DAY(DATE(PORTADA!$B$2,7,13))&lt;&gt;13,"",SUMIFS(MOVIMIENTOS!$F:$F,MOVIMIENTOS!$A:$A,DATE(PORTADA!$B$2,7,13),MOVIMIENTOS!$C:$C,T$4))</f>
        <v/>
      </c>
      <c r="U17" s="22">
        <f>IF(DAY(DATE(PORTADA!$B$2,7,13))&lt;&gt;13,"",SUMIFS(MOVIMIENTOS!$F:$F,MOVIMIENTOS!$A:$A,DATE(PORTADA!$B$2,7,13),MOVIMIENTOS!$C:$C,U$4))</f>
        <v/>
      </c>
      <c r="V17" s="22">
        <f>IF(DAY(DATE(PORTADA!$B$2,7,13))&lt;&gt;13,"",SUMIFS(MOVIMIENTOS!$F:$F,MOVIMIENTOS!$A:$A,DATE(PORTADA!$B$2,7,13),MOVIMIENTOS!$C:$C,V$4))</f>
        <v/>
      </c>
      <c r="W17" s="22">
        <f>IF(DAY(DATE(PORTADA!$B$2,7,13))&lt;&gt;13,"",SUMIFS(MOVIMIENTOS!$F:$F,MOVIMIENTOS!$A:$A,DATE(PORTADA!$B$2,7,13),MOVIMIENTOS!$C:$C,W$4))</f>
        <v/>
      </c>
      <c r="X17" s="22">
        <f>IF(DAY(DATE(PORTADA!$B$2,7,13))&lt;&gt;13,"",SUMIFS(MOVIMIENTOS!$F:$F,MOVIMIENTOS!$A:$A,DATE(PORTADA!$B$2,7,13),MOVIMIENTOS!$C:$C,X$4))</f>
        <v/>
      </c>
      <c r="Y17" s="22">
        <f>IF(DAY(DATE(PORTADA!$B$2,7,13))&lt;&gt;13,"",SUMIFS(MOVIMIENTOS!$F:$F,MOVIMIENTOS!$A:$A,DATE(PORTADA!$B$2,7,13),MOVIMIENTOS!$C:$C,Y$4))</f>
        <v/>
      </c>
      <c r="Z17" s="22">
        <f>IF(DAY(DATE(PORTADA!$B$2,7,13))&lt;&gt;13,"",SUMIFS(MOVIMIENTOS!$F:$F,MOVIMIENTOS!$A:$A,DATE(PORTADA!$B$2,7,13),MOVIMIENTOS!$C:$C,Z$4))</f>
        <v/>
      </c>
      <c r="AA17" s="22">
        <f>IF(DAY(DATE(PORTADA!$B$2,7,13))&lt;&gt;13,"",SUM(T17:Z17))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SUMIFS(MOVIMIENTOS!$F:$F,MOVIMIENTOS!$A:$A,"&gt;="&amp;DATE(PORTADA!$B$2,7,1),MOVIMIENTOS!$A:$A,"&lt;="&amp;EOMONTH(DATE(PORTADA!$B$2,7,1),0),MOVIMIENTOS!$D:$D,$B18)</f>
        <v/>
      </c>
      <c r="E18" s="8">
        <f>C18-D18</f>
        <v/>
      </c>
      <c r="F18" s="9">
        <f>IFERROR(D18/C18,"")</f>
        <v/>
      </c>
      <c r="S18" s="21">
        <f>IF(DAY(DATE(PORTADA!$B$2,7,14))&lt;&gt;14,"",14)</f>
        <v/>
      </c>
      <c r="T18" s="22">
        <f>IF(DAY(DATE(PORTADA!$B$2,7,14))&lt;&gt;14,"",SUMIFS(MOVIMIENTOS!$F:$F,MOVIMIENTOS!$A:$A,DATE(PORTADA!$B$2,7,14),MOVIMIENTOS!$C:$C,T$4))</f>
        <v/>
      </c>
      <c r="U18" s="22">
        <f>IF(DAY(DATE(PORTADA!$B$2,7,14))&lt;&gt;14,"",SUMIFS(MOVIMIENTOS!$F:$F,MOVIMIENTOS!$A:$A,DATE(PORTADA!$B$2,7,14),MOVIMIENTOS!$C:$C,U$4))</f>
        <v/>
      </c>
      <c r="V18" s="22">
        <f>IF(DAY(DATE(PORTADA!$B$2,7,14))&lt;&gt;14,"",SUMIFS(MOVIMIENTOS!$F:$F,MOVIMIENTOS!$A:$A,DATE(PORTADA!$B$2,7,14),MOVIMIENTOS!$C:$C,V$4))</f>
        <v/>
      </c>
      <c r="W18" s="22">
        <f>IF(DAY(DATE(PORTADA!$B$2,7,14))&lt;&gt;14,"",SUMIFS(MOVIMIENTOS!$F:$F,MOVIMIENTOS!$A:$A,DATE(PORTADA!$B$2,7,14),MOVIMIENTOS!$C:$C,W$4))</f>
        <v/>
      </c>
      <c r="X18" s="22">
        <f>IF(DAY(DATE(PORTADA!$B$2,7,14))&lt;&gt;14,"",SUMIFS(MOVIMIENTOS!$F:$F,MOVIMIENTOS!$A:$A,DATE(PORTADA!$B$2,7,14),MOVIMIENTOS!$C:$C,X$4))</f>
        <v/>
      </c>
      <c r="Y18" s="22">
        <f>IF(DAY(DATE(PORTADA!$B$2,7,14))&lt;&gt;14,"",SUMIFS(MOVIMIENTOS!$F:$F,MOVIMIENTOS!$A:$A,DATE(PORTADA!$B$2,7,14),MOVIMIENTOS!$C:$C,Y$4))</f>
        <v/>
      </c>
      <c r="Z18" s="22">
        <f>IF(DAY(DATE(PORTADA!$B$2,7,14))&lt;&gt;14,"",SUMIFS(MOVIMIENTOS!$F:$F,MOVIMIENTOS!$A:$A,DATE(PORTADA!$B$2,7,14),MOVIMIENTOS!$C:$C,Z$4))</f>
        <v/>
      </c>
      <c r="AA18" s="22">
        <f>IF(DAY(DATE(PORTADA!$B$2,7,14))&lt;&gt;14,"",SUM(T18:Z18))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SUMIFS(MOVIMIENTOS!$F:$F,MOVIMIENTOS!$A:$A,"&gt;="&amp;DATE(PORTADA!$B$2,7,1),MOVIMIENTOS!$A:$A,"&lt;="&amp;EOMONTH(DATE(PORTADA!$B$2,7,1),0),MOVIMIENTOS!$D:$D,$B19)</f>
        <v/>
      </c>
      <c r="E19" s="8">
        <f>C19-D19</f>
        <v/>
      </c>
      <c r="F19" s="9">
        <f>IFERROR(D19/C19,"")</f>
        <v/>
      </c>
      <c r="S19" s="21">
        <f>IF(DAY(DATE(PORTADA!$B$2,7,15))&lt;&gt;15,"",15)</f>
        <v/>
      </c>
      <c r="T19" s="22">
        <f>IF(DAY(DATE(PORTADA!$B$2,7,15))&lt;&gt;15,"",SUMIFS(MOVIMIENTOS!$F:$F,MOVIMIENTOS!$A:$A,DATE(PORTADA!$B$2,7,15),MOVIMIENTOS!$C:$C,T$4))</f>
        <v/>
      </c>
      <c r="U19" s="22">
        <f>IF(DAY(DATE(PORTADA!$B$2,7,15))&lt;&gt;15,"",SUMIFS(MOVIMIENTOS!$F:$F,MOVIMIENTOS!$A:$A,DATE(PORTADA!$B$2,7,15),MOVIMIENTOS!$C:$C,U$4))</f>
        <v/>
      </c>
      <c r="V19" s="22">
        <f>IF(DAY(DATE(PORTADA!$B$2,7,15))&lt;&gt;15,"",SUMIFS(MOVIMIENTOS!$F:$F,MOVIMIENTOS!$A:$A,DATE(PORTADA!$B$2,7,15),MOVIMIENTOS!$C:$C,V$4))</f>
        <v/>
      </c>
      <c r="W19" s="22">
        <f>IF(DAY(DATE(PORTADA!$B$2,7,15))&lt;&gt;15,"",SUMIFS(MOVIMIENTOS!$F:$F,MOVIMIENTOS!$A:$A,DATE(PORTADA!$B$2,7,15),MOVIMIENTOS!$C:$C,W$4))</f>
        <v/>
      </c>
      <c r="X19" s="22">
        <f>IF(DAY(DATE(PORTADA!$B$2,7,15))&lt;&gt;15,"",SUMIFS(MOVIMIENTOS!$F:$F,MOVIMIENTOS!$A:$A,DATE(PORTADA!$B$2,7,15),MOVIMIENTOS!$C:$C,X$4))</f>
        <v/>
      </c>
      <c r="Y19" s="22">
        <f>IF(DAY(DATE(PORTADA!$B$2,7,15))&lt;&gt;15,"",SUMIFS(MOVIMIENTOS!$F:$F,MOVIMIENTOS!$A:$A,DATE(PORTADA!$B$2,7,15),MOVIMIENTOS!$C:$C,Y$4))</f>
        <v/>
      </c>
      <c r="Z19" s="22">
        <f>IF(DAY(DATE(PORTADA!$B$2,7,15))&lt;&gt;15,"",SUMIFS(MOVIMIENTOS!$F:$F,MOVIMIENTOS!$A:$A,DATE(PORTADA!$B$2,7,15),MOVIMIENTOS!$C:$C,Z$4))</f>
        <v/>
      </c>
      <c r="AA19" s="22">
        <f>IF(DAY(DATE(PORTADA!$B$2,7,15))&lt;&gt;15,"",SUM(T19:Z19))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SUMIFS(MOVIMIENTOS!$F:$F,MOVIMIENTOS!$A:$A,"&gt;="&amp;DATE(PORTADA!$B$2,7,1),MOVIMIENTOS!$A:$A,"&lt;="&amp;EOMONTH(DATE(PORTADA!$B$2,7,1),0),MOVIMIENTOS!$D:$D,$B20)</f>
        <v/>
      </c>
      <c r="E20" s="8">
        <f>C20-D20</f>
        <v/>
      </c>
      <c r="F20" s="9">
        <f>IFERROR(D20/C20,"")</f>
        <v/>
      </c>
      <c r="S20" s="21">
        <f>IF(DAY(DATE(PORTADA!$B$2,7,16))&lt;&gt;16,"",16)</f>
        <v/>
      </c>
      <c r="T20" s="22">
        <f>IF(DAY(DATE(PORTADA!$B$2,7,16))&lt;&gt;16,"",SUMIFS(MOVIMIENTOS!$F:$F,MOVIMIENTOS!$A:$A,DATE(PORTADA!$B$2,7,16),MOVIMIENTOS!$C:$C,T$4))</f>
        <v/>
      </c>
      <c r="U20" s="22">
        <f>IF(DAY(DATE(PORTADA!$B$2,7,16))&lt;&gt;16,"",SUMIFS(MOVIMIENTOS!$F:$F,MOVIMIENTOS!$A:$A,DATE(PORTADA!$B$2,7,16),MOVIMIENTOS!$C:$C,U$4))</f>
        <v/>
      </c>
      <c r="V20" s="22">
        <f>IF(DAY(DATE(PORTADA!$B$2,7,16))&lt;&gt;16,"",SUMIFS(MOVIMIENTOS!$F:$F,MOVIMIENTOS!$A:$A,DATE(PORTADA!$B$2,7,16),MOVIMIENTOS!$C:$C,V$4))</f>
        <v/>
      </c>
      <c r="W20" s="22">
        <f>IF(DAY(DATE(PORTADA!$B$2,7,16))&lt;&gt;16,"",SUMIFS(MOVIMIENTOS!$F:$F,MOVIMIENTOS!$A:$A,DATE(PORTADA!$B$2,7,16),MOVIMIENTOS!$C:$C,W$4))</f>
        <v/>
      </c>
      <c r="X20" s="22">
        <f>IF(DAY(DATE(PORTADA!$B$2,7,16))&lt;&gt;16,"",SUMIFS(MOVIMIENTOS!$F:$F,MOVIMIENTOS!$A:$A,DATE(PORTADA!$B$2,7,16),MOVIMIENTOS!$C:$C,X$4))</f>
        <v/>
      </c>
      <c r="Y20" s="22">
        <f>IF(DAY(DATE(PORTADA!$B$2,7,16))&lt;&gt;16,"",SUMIFS(MOVIMIENTOS!$F:$F,MOVIMIENTOS!$A:$A,DATE(PORTADA!$B$2,7,16),MOVIMIENTOS!$C:$C,Y$4))</f>
        <v/>
      </c>
      <c r="Z20" s="22">
        <f>IF(DAY(DATE(PORTADA!$B$2,7,16))&lt;&gt;16,"",SUMIFS(MOVIMIENTOS!$F:$F,MOVIMIENTOS!$A:$A,DATE(PORTADA!$B$2,7,16),MOVIMIENTOS!$C:$C,Z$4))</f>
        <v/>
      </c>
      <c r="AA20" s="22">
        <f>IF(DAY(DATE(PORTADA!$B$2,7,16))&lt;&gt;16,"",SUM(T20:Z20))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SUMIFS(MOVIMIENTOS!$F:$F,MOVIMIENTOS!$A:$A,"&gt;="&amp;DATE(PORTADA!$B$2,7,1),MOVIMIENTOS!$A:$A,"&lt;="&amp;EOMONTH(DATE(PORTADA!$B$2,7,1),0),MOVIMIENTOS!$D:$D,$B21)</f>
        <v/>
      </c>
      <c r="E21" s="8">
        <f>C21-D21</f>
        <v/>
      </c>
      <c r="F21" s="9">
        <f>IFERROR(D21/C21,"")</f>
        <v/>
      </c>
      <c r="S21" s="21">
        <f>IF(DAY(DATE(PORTADA!$B$2,7,17))&lt;&gt;17,"",17)</f>
        <v/>
      </c>
      <c r="T21" s="22">
        <f>IF(DAY(DATE(PORTADA!$B$2,7,17))&lt;&gt;17,"",SUMIFS(MOVIMIENTOS!$F:$F,MOVIMIENTOS!$A:$A,DATE(PORTADA!$B$2,7,17),MOVIMIENTOS!$C:$C,T$4))</f>
        <v/>
      </c>
      <c r="U21" s="22">
        <f>IF(DAY(DATE(PORTADA!$B$2,7,17))&lt;&gt;17,"",SUMIFS(MOVIMIENTOS!$F:$F,MOVIMIENTOS!$A:$A,DATE(PORTADA!$B$2,7,17),MOVIMIENTOS!$C:$C,U$4))</f>
        <v/>
      </c>
      <c r="V21" s="22">
        <f>IF(DAY(DATE(PORTADA!$B$2,7,17))&lt;&gt;17,"",SUMIFS(MOVIMIENTOS!$F:$F,MOVIMIENTOS!$A:$A,DATE(PORTADA!$B$2,7,17),MOVIMIENTOS!$C:$C,V$4))</f>
        <v/>
      </c>
      <c r="W21" s="22">
        <f>IF(DAY(DATE(PORTADA!$B$2,7,17))&lt;&gt;17,"",SUMIFS(MOVIMIENTOS!$F:$F,MOVIMIENTOS!$A:$A,DATE(PORTADA!$B$2,7,17),MOVIMIENTOS!$C:$C,W$4))</f>
        <v/>
      </c>
      <c r="X21" s="22">
        <f>IF(DAY(DATE(PORTADA!$B$2,7,17))&lt;&gt;17,"",SUMIFS(MOVIMIENTOS!$F:$F,MOVIMIENTOS!$A:$A,DATE(PORTADA!$B$2,7,17),MOVIMIENTOS!$C:$C,X$4))</f>
        <v/>
      </c>
      <c r="Y21" s="22">
        <f>IF(DAY(DATE(PORTADA!$B$2,7,17))&lt;&gt;17,"",SUMIFS(MOVIMIENTOS!$F:$F,MOVIMIENTOS!$A:$A,DATE(PORTADA!$B$2,7,17),MOVIMIENTOS!$C:$C,Y$4))</f>
        <v/>
      </c>
      <c r="Z21" s="22">
        <f>IF(DAY(DATE(PORTADA!$B$2,7,17))&lt;&gt;17,"",SUMIFS(MOVIMIENTOS!$F:$F,MOVIMIENTOS!$A:$A,DATE(PORTADA!$B$2,7,17),MOVIMIENTOS!$C:$C,Z$4))</f>
        <v/>
      </c>
      <c r="AA21" s="22">
        <f>IF(DAY(DATE(PORTADA!$B$2,7,17))&lt;&gt;17,"",SUM(T21:Z21))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SUMIFS(MOVIMIENTOS!$F:$F,MOVIMIENTOS!$A:$A,"&gt;="&amp;DATE(PORTADA!$B$2,7,1),MOVIMIENTOS!$A:$A,"&lt;="&amp;EOMONTH(DATE(PORTADA!$B$2,7,1),0),MOVIMIENTOS!$D:$D,$B22)</f>
        <v/>
      </c>
      <c r="E22" s="8">
        <f>C22-D22</f>
        <v/>
      </c>
      <c r="F22" s="9">
        <f>IFERROR(D22/C22,"")</f>
        <v/>
      </c>
      <c r="S22" s="21">
        <f>IF(DAY(DATE(PORTADA!$B$2,7,18))&lt;&gt;18,"",18)</f>
        <v/>
      </c>
      <c r="T22" s="22">
        <f>IF(DAY(DATE(PORTADA!$B$2,7,18))&lt;&gt;18,"",SUMIFS(MOVIMIENTOS!$F:$F,MOVIMIENTOS!$A:$A,DATE(PORTADA!$B$2,7,18),MOVIMIENTOS!$C:$C,T$4))</f>
        <v/>
      </c>
      <c r="U22" s="22">
        <f>IF(DAY(DATE(PORTADA!$B$2,7,18))&lt;&gt;18,"",SUMIFS(MOVIMIENTOS!$F:$F,MOVIMIENTOS!$A:$A,DATE(PORTADA!$B$2,7,18),MOVIMIENTOS!$C:$C,U$4))</f>
        <v/>
      </c>
      <c r="V22" s="22">
        <f>IF(DAY(DATE(PORTADA!$B$2,7,18))&lt;&gt;18,"",SUMIFS(MOVIMIENTOS!$F:$F,MOVIMIENTOS!$A:$A,DATE(PORTADA!$B$2,7,18),MOVIMIENTOS!$C:$C,V$4))</f>
        <v/>
      </c>
      <c r="W22" s="22">
        <f>IF(DAY(DATE(PORTADA!$B$2,7,18))&lt;&gt;18,"",SUMIFS(MOVIMIENTOS!$F:$F,MOVIMIENTOS!$A:$A,DATE(PORTADA!$B$2,7,18),MOVIMIENTOS!$C:$C,W$4))</f>
        <v/>
      </c>
      <c r="X22" s="22">
        <f>IF(DAY(DATE(PORTADA!$B$2,7,18))&lt;&gt;18,"",SUMIFS(MOVIMIENTOS!$F:$F,MOVIMIENTOS!$A:$A,DATE(PORTADA!$B$2,7,18),MOVIMIENTOS!$C:$C,X$4))</f>
        <v/>
      </c>
      <c r="Y22" s="22">
        <f>IF(DAY(DATE(PORTADA!$B$2,7,18))&lt;&gt;18,"",SUMIFS(MOVIMIENTOS!$F:$F,MOVIMIENTOS!$A:$A,DATE(PORTADA!$B$2,7,18),MOVIMIENTOS!$C:$C,Y$4))</f>
        <v/>
      </c>
      <c r="Z22" s="22">
        <f>IF(DAY(DATE(PORTADA!$B$2,7,18))&lt;&gt;18,"",SUMIFS(MOVIMIENTOS!$F:$F,MOVIMIENTOS!$A:$A,DATE(PORTADA!$B$2,7,18),MOVIMIENTOS!$C:$C,Z$4))</f>
        <v/>
      </c>
      <c r="AA22" s="22">
        <f>IF(DAY(DATE(PORTADA!$B$2,7,18))&lt;&gt;18,"",SUM(T22:Z22))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SUMIFS(MOVIMIENTOS!$F:$F,MOVIMIENTOS!$A:$A,"&gt;="&amp;DATE(PORTADA!$B$2,7,1),MOVIMIENTOS!$A:$A,"&lt;="&amp;EOMONTH(DATE(PORTADA!$B$2,7,1),0),MOVIMIENTOS!$D:$D,$B23)</f>
        <v/>
      </c>
      <c r="E23" s="8">
        <f>C23-D23</f>
        <v/>
      </c>
      <c r="F23" s="9">
        <f>IFERROR(D23/C23,"")</f>
        <v/>
      </c>
      <c r="S23" s="21">
        <f>IF(DAY(DATE(PORTADA!$B$2,7,19))&lt;&gt;19,"",19)</f>
        <v/>
      </c>
      <c r="T23" s="22">
        <f>IF(DAY(DATE(PORTADA!$B$2,7,19))&lt;&gt;19,"",SUMIFS(MOVIMIENTOS!$F:$F,MOVIMIENTOS!$A:$A,DATE(PORTADA!$B$2,7,19),MOVIMIENTOS!$C:$C,T$4))</f>
        <v/>
      </c>
      <c r="U23" s="22">
        <f>IF(DAY(DATE(PORTADA!$B$2,7,19))&lt;&gt;19,"",SUMIFS(MOVIMIENTOS!$F:$F,MOVIMIENTOS!$A:$A,DATE(PORTADA!$B$2,7,19),MOVIMIENTOS!$C:$C,U$4))</f>
        <v/>
      </c>
      <c r="V23" s="22">
        <f>IF(DAY(DATE(PORTADA!$B$2,7,19))&lt;&gt;19,"",SUMIFS(MOVIMIENTOS!$F:$F,MOVIMIENTOS!$A:$A,DATE(PORTADA!$B$2,7,19),MOVIMIENTOS!$C:$C,V$4))</f>
        <v/>
      </c>
      <c r="W23" s="22">
        <f>IF(DAY(DATE(PORTADA!$B$2,7,19))&lt;&gt;19,"",SUMIFS(MOVIMIENTOS!$F:$F,MOVIMIENTOS!$A:$A,DATE(PORTADA!$B$2,7,19),MOVIMIENTOS!$C:$C,W$4))</f>
        <v/>
      </c>
      <c r="X23" s="22">
        <f>IF(DAY(DATE(PORTADA!$B$2,7,19))&lt;&gt;19,"",SUMIFS(MOVIMIENTOS!$F:$F,MOVIMIENTOS!$A:$A,DATE(PORTADA!$B$2,7,19),MOVIMIENTOS!$C:$C,X$4))</f>
        <v/>
      </c>
      <c r="Y23" s="22">
        <f>IF(DAY(DATE(PORTADA!$B$2,7,19))&lt;&gt;19,"",SUMIFS(MOVIMIENTOS!$F:$F,MOVIMIENTOS!$A:$A,DATE(PORTADA!$B$2,7,19),MOVIMIENTOS!$C:$C,Y$4))</f>
        <v/>
      </c>
      <c r="Z23" s="22">
        <f>IF(DAY(DATE(PORTADA!$B$2,7,19))&lt;&gt;19,"",SUMIFS(MOVIMIENTOS!$F:$F,MOVIMIENTOS!$A:$A,DATE(PORTADA!$B$2,7,19),MOVIMIENTOS!$C:$C,Z$4))</f>
        <v/>
      </c>
      <c r="AA23" s="22">
        <f>IF(DAY(DATE(PORTADA!$B$2,7,19))&lt;&gt;19,"",SUM(T23:Z23))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SUMIFS(MOVIMIENTOS!$F:$F,MOVIMIENTOS!$A:$A,"&gt;="&amp;DATE(PORTADA!$B$2,7,1),MOVIMIENTOS!$A:$A,"&lt;="&amp;EOMONTH(DATE(PORTADA!$B$2,7,1),0),MOVIMIENTOS!$D:$D,$B24)</f>
        <v/>
      </c>
      <c r="E24" s="8">
        <f>C24-D24</f>
        <v/>
      </c>
      <c r="F24" s="9">
        <f>IFERROR(D24/C24,"")</f>
        <v/>
      </c>
      <c r="S24" s="21">
        <f>IF(DAY(DATE(PORTADA!$B$2,7,20))&lt;&gt;20,"",20)</f>
        <v/>
      </c>
      <c r="T24" s="22">
        <f>IF(DAY(DATE(PORTADA!$B$2,7,20))&lt;&gt;20,"",SUMIFS(MOVIMIENTOS!$F:$F,MOVIMIENTOS!$A:$A,DATE(PORTADA!$B$2,7,20),MOVIMIENTOS!$C:$C,T$4))</f>
        <v/>
      </c>
      <c r="U24" s="22">
        <f>IF(DAY(DATE(PORTADA!$B$2,7,20))&lt;&gt;20,"",SUMIFS(MOVIMIENTOS!$F:$F,MOVIMIENTOS!$A:$A,DATE(PORTADA!$B$2,7,20),MOVIMIENTOS!$C:$C,U$4))</f>
        <v/>
      </c>
      <c r="V24" s="22">
        <f>IF(DAY(DATE(PORTADA!$B$2,7,20))&lt;&gt;20,"",SUMIFS(MOVIMIENTOS!$F:$F,MOVIMIENTOS!$A:$A,DATE(PORTADA!$B$2,7,20),MOVIMIENTOS!$C:$C,V$4))</f>
        <v/>
      </c>
      <c r="W24" s="22">
        <f>IF(DAY(DATE(PORTADA!$B$2,7,20))&lt;&gt;20,"",SUMIFS(MOVIMIENTOS!$F:$F,MOVIMIENTOS!$A:$A,DATE(PORTADA!$B$2,7,20),MOVIMIENTOS!$C:$C,W$4))</f>
        <v/>
      </c>
      <c r="X24" s="22">
        <f>IF(DAY(DATE(PORTADA!$B$2,7,20))&lt;&gt;20,"",SUMIFS(MOVIMIENTOS!$F:$F,MOVIMIENTOS!$A:$A,DATE(PORTADA!$B$2,7,20),MOVIMIENTOS!$C:$C,X$4))</f>
        <v/>
      </c>
      <c r="Y24" s="22">
        <f>IF(DAY(DATE(PORTADA!$B$2,7,20))&lt;&gt;20,"",SUMIFS(MOVIMIENTOS!$F:$F,MOVIMIENTOS!$A:$A,DATE(PORTADA!$B$2,7,20),MOVIMIENTOS!$C:$C,Y$4))</f>
        <v/>
      </c>
      <c r="Z24" s="22">
        <f>IF(DAY(DATE(PORTADA!$B$2,7,20))&lt;&gt;20,"",SUMIFS(MOVIMIENTOS!$F:$F,MOVIMIENTOS!$A:$A,DATE(PORTADA!$B$2,7,20),MOVIMIENTOS!$C:$C,Z$4))</f>
        <v/>
      </c>
      <c r="AA24" s="22">
        <f>IF(DAY(DATE(PORTADA!$B$2,7,20))&lt;&gt;20,"",SUM(T24:Z24))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SUMIFS(MOVIMIENTOS!$F:$F,MOVIMIENTOS!$A:$A,"&gt;="&amp;DATE(PORTADA!$B$2,7,1),MOVIMIENTOS!$A:$A,"&lt;="&amp;EOMONTH(DATE(PORTADA!$B$2,7,1),0),MOVIMIENTOS!$D:$D,$B25)</f>
        <v/>
      </c>
      <c r="E25" s="8">
        <f>C25-D25</f>
        <v/>
      </c>
      <c r="F25" s="9">
        <f>IFERROR(D25/C25,"")</f>
        <v/>
      </c>
      <c r="S25" s="21">
        <f>IF(DAY(DATE(PORTADA!$B$2,7,21))&lt;&gt;21,"",21)</f>
        <v/>
      </c>
      <c r="T25" s="22">
        <f>IF(DAY(DATE(PORTADA!$B$2,7,21))&lt;&gt;21,"",SUMIFS(MOVIMIENTOS!$F:$F,MOVIMIENTOS!$A:$A,DATE(PORTADA!$B$2,7,21),MOVIMIENTOS!$C:$C,T$4))</f>
        <v/>
      </c>
      <c r="U25" s="22">
        <f>IF(DAY(DATE(PORTADA!$B$2,7,21))&lt;&gt;21,"",SUMIFS(MOVIMIENTOS!$F:$F,MOVIMIENTOS!$A:$A,DATE(PORTADA!$B$2,7,21),MOVIMIENTOS!$C:$C,U$4))</f>
        <v/>
      </c>
      <c r="V25" s="22">
        <f>IF(DAY(DATE(PORTADA!$B$2,7,21))&lt;&gt;21,"",SUMIFS(MOVIMIENTOS!$F:$F,MOVIMIENTOS!$A:$A,DATE(PORTADA!$B$2,7,21),MOVIMIENTOS!$C:$C,V$4))</f>
        <v/>
      </c>
      <c r="W25" s="22">
        <f>IF(DAY(DATE(PORTADA!$B$2,7,21))&lt;&gt;21,"",SUMIFS(MOVIMIENTOS!$F:$F,MOVIMIENTOS!$A:$A,DATE(PORTADA!$B$2,7,21),MOVIMIENTOS!$C:$C,W$4))</f>
        <v/>
      </c>
      <c r="X25" s="22">
        <f>IF(DAY(DATE(PORTADA!$B$2,7,21))&lt;&gt;21,"",SUMIFS(MOVIMIENTOS!$F:$F,MOVIMIENTOS!$A:$A,DATE(PORTADA!$B$2,7,21),MOVIMIENTOS!$C:$C,X$4))</f>
        <v/>
      </c>
      <c r="Y25" s="22">
        <f>IF(DAY(DATE(PORTADA!$B$2,7,21))&lt;&gt;21,"",SUMIFS(MOVIMIENTOS!$F:$F,MOVIMIENTOS!$A:$A,DATE(PORTADA!$B$2,7,21),MOVIMIENTOS!$C:$C,Y$4))</f>
        <v/>
      </c>
      <c r="Z25" s="22">
        <f>IF(DAY(DATE(PORTADA!$B$2,7,21))&lt;&gt;21,"",SUMIFS(MOVIMIENTOS!$F:$F,MOVIMIENTOS!$A:$A,DATE(PORTADA!$B$2,7,21),MOVIMIENTOS!$C:$C,Z$4))</f>
        <v/>
      </c>
      <c r="AA25" s="22">
        <f>IF(DAY(DATE(PORTADA!$B$2,7,21))&lt;&gt;21,"",SUM(T25:Z25))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SUMIFS(MOVIMIENTOS!$F:$F,MOVIMIENTOS!$A:$A,"&gt;="&amp;DATE(PORTADA!$B$2,7,1),MOVIMIENTOS!$A:$A,"&lt;="&amp;EOMONTH(DATE(PORTADA!$B$2,7,1),0),MOVIMIENTOS!$D:$D,$B26)</f>
        <v/>
      </c>
      <c r="E26" s="8">
        <f>C26-D26</f>
        <v/>
      </c>
      <c r="F26" s="9">
        <f>IFERROR(D26/C26,"")</f>
        <v/>
      </c>
      <c r="S26" s="21">
        <f>IF(DAY(DATE(PORTADA!$B$2,7,22))&lt;&gt;22,"",22)</f>
        <v/>
      </c>
      <c r="T26" s="22">
        <f>IF(DAY(DATE(PORTADA!$B$2,7,22))&lt;&gt;22,"",SUMIFS(MOVIMIENTOS!$F:$F,MOVIMIENTOS!$A:$A,DATE(PORTADA!$B$2,7,22),MOVIMIENTOS!$C:$C,T$4))</f>
        <v/>
      </c>
      <c r="U26" s="22">
        <f>IF(DAY(DATE(PORTADA!$B$2,7,22))&lt;&gt;22,"",SUMIFS(MOVIMIENTOS!$F:$F,MOVIMIENTOS!$A:$A,DATE(PORTADA!$B$2,7,22),MOVIMIENTOS!$C:$C,U$4))</f>
        <v/>
      </c>
      <c r="V26" s="22">
        <f>IF(DAY(DATE(PORTADA!$B$2,7,22))&lt;&gt;22,"",SUMIFS(MOVIMIENTOS!$F:$F,MOVIMIENTOS!$A:$A,DATE(PORTADA!$B$2,7,22),MOVIMIENTOS!$C:$C,V$4))</f>
        <v/>
      </c>
      <c r="W26" s="22">
        <f>IF(DAY(DATE(PORTADA!$B$2,7,22))&lt;&gt;22,"",SUMIFS(MOVIMIENTOS!$F:$F,MOVIMIENTOS!$A:$A,DATE(PORTADA!$B$2,7,22),MOVIMIENTOS!$C:$C,W$4))</f>
        <v/>
      </c>
      <c r="X26" s="22">
        <f>IF(DAY(DATE(PORTADA!$B$2,7,22))&lt;&gt;22,"",SUMIFS(MOVIMIENTOS!$F:$F,MOVIMIENTOS!$A:$A,DATE(PORTADA!$B$2,7,22),MOVIMIENTOS!$C:$C,X$4))</f>
        <v/>
      </c>
      <c r="Y26" s="22">
        <f>IF(DAY(DATE(PORTADA!$B$2,7,22))&lt;&gt;22,"",SUMIFS(MOVIMIENTOS!$F:$F,MOVIMIENTOS!$A:$A,DATE(PORTADA!$B$2,7,22),MOVIMIENTOS!$C:$C,Y$4))</f>
        <v/>
      </c>
      <c r="Z26" s="22">
        <f>IF(DAY(DATE(PORTADA!$B$2,7,22))&lt;&gt;22,"",SUMIFS(MOVIMIENTOS!$F:$F,MOVIMIENTOS!$A:$A,DATE(PORTADA!$B$2,7,22),MOVIMIENTOS!$C:$C,Z$4))</f>
        <v/>
      </c>
      <c r="AA26" s="22">
        <f>IF(DAY(DATE(PORTADA!$B$2,7,22))&lt;&gt;22,"",SUM(T26:Z26))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SUMIFS(MOVIMIENTOS!$F:$F,MOVIMIENTOS!$A:$A,"&gt;="&amp;DATE(PORTADA!$B$2,7,1),MOVIMIENTOS!$A:$A,"&lt;="&amp;EOMONTH(DATE(PORTADA!$B$2,7,1),0),MOVIMIENTOS!$D:$D,$B27)</f>
        <v/>
      </c>
      <c r="E27" s="8">
        <f>C27-D27</f>
        <v/>
      </c>
      <c r="F27" s="9">
        <f>IFERROR(D27/C27,"")</f>
        <v/>
      </c>
      <c r="S27" s="21">
        <f>IF(DAY(DATE(PORTADA!$B$2,7,23))&lt;&gt;23,"",23)</f>
        <v/>
      </c>
      <c r="T27" s="22">
        <f>IF(DAY(DATE(PORTADA!$B$2,7,23))&lt;&gt;23,"",SUMIFS(MOVIMIENTOS!$F:$F,MOVIMIENTOS!$A:$A,DATE(PORTADA!$B$2,7,23),MOVIMIENTOS!$C:$C,T$4))</f>
        <v/>
      </c>
      <c r="U27" s="22">
        <f>IF(DAY(DATE(PORTADA!$B$2,7,23))&lt;&gt;23,"",SUMIFS(MOVIMIENTOS!$F:$F,MOVIMIENTOS!$A:$A,DATE(PORTADA!$B$2,7,23),MOVIMIENTOS!$C:$C,U$4))</f>
        <v/>
      </c>
      <c r="V27" s="22">
        <f>IF(DAY(DATE(PORTADA!$B$2,7,23))&lt;&gt;23,"",SUMIFS(MOVIMIENTOS!$F:$F,MOVIMIENTOS!$A:$A,DATE(PORTADA!$B$2,7,23),MOVIMIENTOS!$C:$C,V$4))</f>
        <v/>
      </c>
      <c r="W27" s="22">
        <f>IF(DAY(DATE(PORTADA!$B$2,7,23))&lt;&gt;23,"",SUMIFS(MOVIMIENTOS!$F:$F,MOVIMIENTOS!$A:$A,DATE(PORTADA!$B$2,7,23),MOVIMIENTOS!$C:$C,W$4))</f>
        <v/>
      </c>
      <c r="X27" s="22">
        <f>IF(DAY(DATE(PORTADA!$B$2,7,23))&lt;&gt;23,"",SUMIFS(MOVIMIENTOS!$F:$F,MOVIMIENTOS!$A:$A,DATE(PORTADA!$B$2,7,23),MOVIMIENTOS!$C:$C,X$4))</f>
        <v/>
      </c>
      <c r="Y27" s="22">
        <f>IF(DAY(DATE(PORTADA!$B$2,7,23))&lt;&gt;23,"",SUMIFS(MOVIMIENTOS!$F:$F,MOVIMIENTOS!$A:$A,DATE(PORTADA!$B$2,7,23),MOVIMIENTOS!$C:$C,Y$4))</f>
        <v/>
      </c>
      <c r="Z27" s="22">
        <f>IF(DAY(DATE(PORTADA!$B$2,7,23))&lt;&gt;23,"",SUMIFS(MOVIMIENTOS!$F:$F,MOVIMIENTOS!$A:$A,DATE(PORTADA!$B$2,7,23),MOVIMIENTOS!$C:$C,Z$4))</f>
        <v/>
      </c>
      <c r="AA27" s="22">
        <f>IF(DAY(DATE(PORTADA!$B$2,7,23))&lt;&gt;23,"",SUM(T27:Z27))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SUMIFS(MOVIMIENTOS!$F:$F,MOVIMIENTOS!$A:$A,"&gt;="&amp;DATE(PORTADA!$B$2,7,1),MOVIMIENTOS!$A:$A,"&lt;="&amp;EOMONTH(DATE(PORTADA!$B$2,7,1),0),MOVIMIENTOS!$D:$D,$B28)</f>
        <v/>
      </c>
      <c r="E28" s="8">
        <f>C28-D28</f>
        <v/>
      </c>
      <c r="F28" s="9">
        <f>IFERROR(D28/C28,"")</f>
        <v/>
      </c>
      <c r="S28" s="21">
        <f>IF(DAY(DATE(PORTADA!$B$2,7,24))&lt;&gt;24,"",24)</f>
        <v/>
      </c>
      <c r="T28" s="22">
        <f>IF(DAY(DATE(PORTADA!$B$2,7,24))&lt;&gt;24,"",SUMIFS(MOVIMIENTOS!$F:$F,MOVIMIENTOS!$A:$A,DATE(PORTADA!$B$2,7,24),MOVIMIENTOS!$C:$C,T$4))</f>
        <v/>
      </c>
      <c r="U28" s="22">
        <f>IF(DAY(DATE(PORTADA!$B$2,7,24))&lt;&gt;24,"",SUMIFS(MOVIMIENTOS!$F:$F,MOVIMIENTOS!$A:$A,DATE(PORTADA!$B$2,7,24),MOVIMIENTOS!$C:$C,U$4))</f>
        <v/>
      </c>
      <c r="V28" s="22">
        <f>IF(DAY(DATE(PORTADA!$B$2,7,24))&lt;&gt;24,"",SUMIFS(MOVIMIENTOS!$F:$F,MOVIMIENTOS!$A:$A,DATE(PORTADA!$B$2,7,24),MOVIMIENTOS!$C:$C,V$4))</f>
        <v/>
      </c>
      <c r="W28" s="22">
        <f>IF(DAY(DATE(PORTADA!$B$2,7,24))&lt;&gt;24,"",SUMIFS(MOVIMIENTOS!$F:$F,MOVIMIENTOS!$A:$A,DATE(PORTADA!$B$2,7,24),MOVIMIENTOS!$C:$C,W$4))</f>
        <v/>
      </c>
      <c r="X28" s="22">
        <f>IF(DAY(DATE(PORTADA!$B$2,7,24))&lt;&gt;24,"",SUMIFS(MOVIMIENTOS!$F:$F,MOVIMIENTOS!$A:$A,DATE(PORTADA!$B$2,7,24),MOVIMIENTOS!$C:$C,X$4))</f>
        <v/>
      </c>
      <c r="Y28" s="22">
        <f>IF(DAY(DATE(PORTADA!$B$2,7,24))&lt;&gt;24,"",SUMIFS(MOVIMIENTOS!$F:$F,MOVIMIENTOS!$A:$A,DATE(PORTADA!$B$2,7,24),MOVIMIENTOS!$C:$C,Y$4))</f>
        <v/>
      </c>
      <c r="Z28" s="22">
        <f>IF(DAY(DATE(PORTADA!$B$2,7,24))&lt;&gt;24,"",SUMIFS(MOVIMIENTOS!$F:$F,MOVIMIENTOS!$A:$A,DATE(PORTADA!$B$2,7,24),MOVIMIENTOS!$C:$C,Z$4))</f>
        <v/>
      </c>
      <c r="AA28" s="22">
        <f>IF(DAY(DATE(PORTADA!$B$2,7,24))&lt;&gt;24,"",SUM(T28:Z28))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SUMIFS(MOVIMIENTOS!$F:$F,MOVIMIENTOS!$A:$A,"&gt;="&amp;DATE(PORTADA!$B$2,7,1),MOVIMIENTOS!$A:$A,"&lt;="&amp;EOMONTH(DATE(PORTADA!$B$2,7,1),0),MOVIMIENTOS!$D:$D,$B29)</f>
        <v/>
      </c>
      <c r="E29" s="8">
        <f>C29-D29</f>
        <v/>
      </c>
      <c r="F29" s="9">
        <f>IFERROR(D29/C29,"")</f>
        <v/>
      </c>
      <c r="S29" s="21">
        <f>IF(DAY(DATE(PORTADA!$B$2,7,25))&lt;&gt;25,"",25)</f>
        <v/>
      </c>
      <c r="T29" s="22">
        <f>IF(DAY(DATE(PORTADA!$B$2,7,25))&lt;&gt;25,"",SUMIFS(MOVIMIENTOS!$F:$F,MOVIMIENTOS!$A:$A,DATE(PORTADA!$B$2,7,25),MOVIMIENTOS!$C:$C,T$4))</f>
        <v/>
      </c>
      <c r="U29" s="22">
        <f>IF(DAY(DATE(PORTADA!$B$2,7,25))&lt;&gt;25,"",SUMIFS(MOVIMIENTOS!$F:$F,MOVIMIENTOS!$A:$A,DATE(PORTADA!$B$2,7,25),MOVIMIENTOS!$C:$C,U$4))</f>
        <v/>
      </c>
      <c r="V29" s="22">
        <f>IF(DAY(DATE(PORTADA!$B$2,7,25))&lt;&gt;25,"",SUMIFS(MOVIMIENTOS!$F:$F,MOVIMIENTOS!$A:$A,DATE(PORTADA!$B$2,7,25),MOVIMIENTOS!$C:$C,V$4))</f>
        <v/>
      </c>
      <c r="W29" s="22">
        <f>IF(DAY(DATE(PORTADA!$B$2,7,25))&lt;&gt;25,"",SUMIFS(MOVIMIENTOS!$F:$F,MOVIMIENTOS!$A:$A,DATE(PORTADA!$B$2,7,25),MOVIMIENTOS!$C:$C,W$4))</f>
        <v/>
      </c>
      <c r="X29" s="22">
        <f>IF(DAY(DATE(PORTADA!$B$2,7,25))&lt;&gt;25,"",SUMIFS(MOVIMIENTOS!$F:$F,MOVIMIENTOS!$A:$A,DATE(PORTADA!$B$2,7,25),MOVIMIENTOS!$C:$C,X$4))</f>
        <v/>
      </c>
      <c r="Y29" s="22">
        <f>IF(DAY(DATE(PORTADA!$B$2,7,25))&lt;&gt;25,"",SUMIFS(MOVIMIENTOS!$F:$F,MOVIMIENTOS!$A:$A,DATE(PORTADA!$B$2,7,25),MOVIMIENTOS!$C:$C,Y$4))</f>
        <v/>
      </c>
      <c r="Z29" s="22">
        <f>IF(DAY(DATE(PORTADA!$B$2,7,25))&lt;&gt;25,"",SUMIFS(MOVIMIENTOS!$F:$F,MOVIMIENTOS!$A:$A,DATE(PORTADA!$B$2,7,25),MOVIMIENTOS!$C:$C,Z$4))</f>
        <v/>
      </c>
      <c r="AA29" s="22">
        <f>IF(DAY(DATE(PORTADA!$B$2,7,25))&lt;&gt;25,"",SUM(T29:Z29))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SUMIFS(MOVIMIENTOS!$F:$F,MOVIMIENTOS!$A:$A,"&gt;="&amp;DATE(PORTADA!$B$2,7,1),MOVIMIENTOS!$A:$A,"&lt;="&amp;EOMONTH(DATE(PORTADA!$B$2,7,1),0),MOVIMIENTOS!$D:$D,$B30)</f>
        <v/>
      </c>
      <c r="E30" s="8">
        <f>C30-D30</f>
        <v/>
      </c>
      <c r="F30" s="9">
        <f>IFERROR(D30/C30,"")</f>
        <v/>
      </c>
      <c r="S30" s="21">
        <f>IF(DAY(DATE(PORTADA!$B$2,7,26))&lt;&gt;26,"",26)</f>
        <v/>
      </c>
      <c r="T30" s="22">
        <f>IF(DAY(DATE(PORTADA!$B$2,7,26))&lt;&gt;26,"",SUMIFS(MOVIMIENTOS!$F:$F,MOVIMIENTOS!$A:$A,DATE(PORTADA!$B$2,7,26),MOVIMIENTOS!$C:$C,T$4))</f>
        <v/>
      </c>
      <c r="U30" s="22">
        <f>IF(DAY(DATE(PORTADA!$B$2,7,26))&lt;&gt;26,"",SUMIFS(MOVIMIENTOS!$F:$F,MOVIMIENTOS!$A:$A,DATE(PORTADA!$B$2,7,26),MOVIMIENTOS!$C:$C,U$4))</f>
        <v/>
      </c>
      <c r="V30" s="22">
        <f>IF(DAY(DATE(PORTADA!$B$2,7,26))&lt;&gt;26,"",SUMIFS(MOVIMIENTOS!$F:$F,MOVIMIENTOS!$A:$A,DATE(PORTADA!$B$2,7,26),MOVIMIENTOS!$C:$C,V$4))</f>
        <v/>
      </c>
      <c r="W30" s="22">
        <f>IF(DAY(DATE(PORTADA!$B$2,7,26))&lt;&gt;26,"",SUMIFS(MOVIMIENTOS!$F:$F,MOVIMIENTOS!$A:$A,DATE(PORTADA!$B$2,7,26),MOVIMIENTOS!$C:$C,W$4))</f>
        <v/>
      </c>
      <c r="X30" s="22">
        <f>IF(DAY(DATE(PORTADA!$B$2,7,26))&lt;&gt;26,"",SUMIFS(MOVIMIENTOS!$F:$F,MOVIMIENTOS!$A:$A,DATE(PORTADA!$B$2,7,26),MOVIMIENTOS!$C:$C,X$4))</f>
        <v/>
      </c>
      <c r="Y30" s="22">
        <f>IF(DAY(DATE(PORTADA!$B$2,7,26))&lt;&gt;26,"",SUMIFS(MOVIMIENTOS!$F:$F,MOVIMIENTOS!$A:$A,DATE(PORTADA!$B$2,7,26),MOVIMIENTOS!$C:$C,Y$4))</f>
        <v/>
      </c>
      <c r="Z30" s="22">
        <f>IF(DAY(DATE(PORTADA!$B$2,7,26))&lt;&gt;26,"",SUMIFS(MOVIMIENTOS!$F:$F,MOVIMIENTOS!$A:$A,DATE(PORTADA!$B$2,7,26),MOVIMIENTOS!$C:$C,Z$4))</f>
        <v/>
      </c>
      <c r="AA30" s="22">
        <f>IF(DAY(DATE(PORTADA!$B$2,7,26))&lt;&gt;26,"",SUM(T30:Z30))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SUMIFS(MOVIMIENTOS!$F:$F,MOVIMIENTOS!$A:$A,"&gt;="&amp;DATE(PORTADA!$B$2,7,1),MOVIMIENTOS!$A:$A,"&lt;="&amp;EOMONTH(DATE(PORTADA!$B$2,7,1),0),MOVIMIENTOS!$D:$D,$B31)</f>
        <v/>
      </c>
      <c r="E31" s="8">
        <f>C31-D31</f>
        <v/>
      </c>
      <c r="F31" s="9">
        <f>IFERROR(D31/C31,"")</f>
        <v/>
      </c>
      <c r="S31" s="21">
        <f>IF(DAY(DATE(PORTADA!$B$2,7,27))&lt;&gt;27,"",27)</f>
        <v/>
      </c>
      <c r="T31" s="22">
        <f>IF(DAY(DATE(PORTADA!$B$2,7,27))&lt;&gt;27,"",SUMIFS(MOVIMIENTOS!$F:$F,MOVIMIENTOS!$A:$A,DATE(PORTADA!$B$2,7,27),MOVIMIENTOS!$C:$C,T$4))</f>
        <v/>
      </c>
      <c r="U31" s="22">
        <f>IF(DAY(DATE(PORTADA!$B$2,7,27))&lt;&gt;27,"",SUMIFS(MOVIMIENTOS!$F:$F,MOVIMIENTOS!$A:$A,DATE(PORTADA!$B$2,7,27),MOVIMIENTOS!$C:$C,U$4))</f>
        <v/>
      </c>
      <c r="V31" s="22">
        <f>IF(DAY(DATE(PORTADA!$B$2,7,27))&lt;&gt;27,"",SUMIFS(MOVIMIENTOS!$F:$F,MOVIMIENTOS!$A:$A,DATE(PORTADA!$B$2,7,27),MOVIMIENTOS!$C:$C,V$4))</f>
        <v/>
      </c>
      <c r="W31" s="22">
        <f>IF(DAY(DATE(PORTADA!$B$2,7,27))&lt;&gt;27,"",SUMIFS(MOVIMIENTOS!$F:$F,MOVIMIENTOS!$A:$A,DATE(PORTADA!$B$2,7,27),MOVIMIENTOS!$C:$C,W$4))</f>
        <v/>
      </c>
      <c r="X31" s="22">
        <f>IF(DAY(DATE(PORTADA!$B$2,7,27))&lt;&gt;27,"",SUMIFS(MOVIMIENTOS!$F:$F,MOVIMIENTOS!$A:$A,DATE(PORTADA!$B$2,7,27),MOVIMIENTOS!$C:$C,X$4))</f>
        <v/>
      </c>
      <c r="Y31" s="22">
        <f>IF(DAY(DATE(PORTADA!$B$2,7,27))&lt;&gt;27,"",SUMIFS(MOVIMIENTOS!$F:$F,MOVIMIENTOS!$A:$A,DATE(PORTADA!$B$2,7,27),MOVIMIENTOS!$C:$C,Y$4))</f>
        <v/>
      </c>
      <c r="Z31" s="22">
        <f>IF(DAY(DATE(PORTADA!$B$2,7,27))&lt;&gt;27,"",SUMIFS(MOVIMIENTOS!$F:$F,MOVIMIENTOS!$A:$A,DATE(PORTADA!$B$2,7,27),MOVIMIENTOS!$C:$C,Z$4))</f>
        <v/>
      </c>
      <c r="AA31" s="22">
        <f>IF(DAY(DATE(PORTADA!$B$2,7,27))&lt;&gt;27,"",SUM(T31:Z31))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SUMIFS(MOVIMIENTOS!$F:$F,MOVIMIENTOS!$A:$A,"&gt;="&amp;DATE(PORTADA!$B$2,7,1),MOVIMIENTOS!$A:$A,"&lt;="&amp;EOMONTH(DATE(PORTADA!$B$2,7,1),0),MOVIMIENTOS!$D:$D,$B32)</f>
        <v/>
      </c>
      <c r="E32" s="8">
        <f>C32-D32</f>
        <v/>
      </c>
      <c r="F32" s="9">
        <f>IFERROR(D32/C32,"")</f>
        <v/>
      </c>
      <c r="S32" s="21">
        <f>IF(DAY(DATE(PORTADA!$B$2,7,28))&lt;&gt;28,"",28)</f>
        <v/>
      </c>
      <c r="T32" s="22">
        <f>IF(DAY(DATE(PORTADA!$B$2,7,28))&lt;&gt;28,"",SUMIFS(MOVIMIENTOS!$F:$F,MOVIMIENTOS!$A:$A,DATE(PORTADA!$B$2,7,28),MOVIMIENTOS!$C:$C,T$4))</f>
        <v/>
      </c>
      <c r="U32" s="22">
        <f>IF(DAY(DATE(PORTADA!$B$2,7,28))&lt;&gt;28,"",SUMIFS(MOVIMIENTOS!$F:$F,MOVIMIENTOS!$A:$A,DATE(PORTADA!$B$2,7,28),MOVIMIENTOS!$C:$C,U$4))</f>
        <v/>
      </c>
      <c r="V32" s="22">
        <f>IF(DAY(DATE(PORTADA!$B$2,7,28))&lt;&gt;28,"",SUMIFS(MOVIMIENTOS!$F:$F,MOVIMIENTOS!$A:$A,DATE(PORTADA!$B$2,7,28),MOVIMIENTOS!$C:$C,V$4))</f>
        <v/>
      </c>
      <c r="W32" s="22">
        <f>IF(DAY(DATE(PORTADA!$B$2,7,28))&lt;&gt;28,"",SUMIFS(MOVIMIENTOS!$F:$F,MOVIMIENTOS!$A:$A,DATE(PORTADA!$B$2,7,28),MOVIMIENTOS!$C:$C,W$4))</f>
        <v/>
      </c>
      <c r="X32" s="22">
        <f>IF(DAY(DATE(PORTADA!$B$2,7,28))&lt;&gt;28,"",SUMIFS(MOVIMIENTOS!$F:$F,MOVIMIENTOS!$A:$A,DATE(PORTADA!$B$2,7,28),MOVIMIENTOS!$C:$C,X$4))</f>
        <v/>
      </c>
      <c r="Y32" s="22">
        <f>IF(DAY(DATE(PORTADA!$B$2,7,28))&lt;&gt;28,"",SUMIFS(MOVIMIENTOS!$F:$F,MOVIMIENTOS!$A:$A,DATE(PORTADA!$B$2,7,28),MOVIMIENTOS!$C:$C,Y$4))</f>
        <v/>
      </c>
      <c r="Z32" s="22">
        <f>IF(DAY(DATE(PORTADA!$B$2,7,28))&lt;&gt;28,"",SUMIFS(MOVIMIENTOS!$F:$F,MOVIMIENTOS!$A:$A,DATE(PORTADA!$B$2,7,28),MOVIMIENTOS!$C:$C,Z$4))</f>
        <v/>
      </c>
      <c r="AA32" s="22">
        <f>IF(DAY(DATE(PORTADA!$B$2,7,28))&lt;&gt;28,"",SUM(T32:Z32))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SUMIFS(MOVIMIENTOS!$F:$F,MOVIMIENTOS!$A:$A,"&gt;="&amp;DATE(PORTADA!$B$2,7,1),MOVIMIENTOS!$A:$A,"&lt;="&amp;EOMONTH(DATE(PORTADA!$B$2,7,1),0),MOVIMIENTOS!$D:$D,$B33)</f>
        <v/>
      </c>
      <c r="E33" s="8">
        <f>C33-D33</f>
        <v/>
      </c>
      <c r="F33" s="9">
        <f>IFERROR(D33/C33,"")</f>
        <v/>
      </c>
      <c r="S33" s="21">
        <f>IF(DAY(DATE(PORTADA!$B$2,7,29))&lt;&gt;29,"",29)</f>
        <v/>
      </c>
      <c r="T33" s="22">
        <f>IF(DAY(DATE(PORTADA!$B$2,7,29))&lt;&gt;29,"",SUMIFS(MOVIMIENTOS!$F:$F,MOVIMIENTOS!$A:$A,DATE(PORTADA!$B$2,7,29),MOVIMIENTOS!$C:$C,T$4))</f>
        <v/>
      </c>
      <c r="U33" s="22">
        <f>IF(DAY(DATE(PORTADA!$B$2,7,29))&lt;&gt;29,"",SUMIFS(MOVIMIENTOS!$F:$F,MOVIMIENTOS!$A:$A,DATE(PORTADA!$B$2,7,29),MOVIMIENTOS!$C:$C,U$4))</f>
        <v/>
      </c>
      <c r="V33" s="22">
        <f>IF(DAY(DATE(PORTADA!$B$2,7,29))&lt;&gt;29,"",SUMIFS(MOVIMIENTOS!$F:$F,MOVIMIENTOS!$A:$A,DATE(PORTADA!$B$2,7,29),MOVIMIENTOS!$C:$C,V$4))</f>
        <v/>
      </c>
      <c r="W33" s="22">
        <f>IF(DAY(DATE(PORTADA!$B$2,7,29))&lt;&gt;29,"",SUMIFS(MOVIMIENTOS!$F:$F,MOVIMIENTOS!$A:$A,DATE(PORTADA!$B$2,7,29),MOVIMIENTOS!$C:$C,W$4))</f>
        <v/>
      </c>
      <c r="X33" s="22">
        <f>IF(DAY(DATE(PORTADA!$B$2,7,29))&lt;&gt;29,"",SUMIFS(MOVIMIENTOS!$F:$F,MOVIMIENTOS!$A:$A,DATE(PORTADA!$B$2,7,29),MOVIMIENTOS!$C:$C,X$4))</f>
        <v/>
      </c>
      <c r="Y33" s="22">
        <f>IF(DAY(DATE(PORTADA!$B$2,7,29))&lt;&gt;29,"",SUMIFS(MOVIMIENTOS!$F:$F,MOVIMIENTOS!$A:$A,DATE(PORTADA!$B$2,7,29),MOVIMIENTOS!$C:$C,Y$4))</f>
        <v/>
      </c>
      <c r="Z33" s="22">
        <f>IF(DAY(DATE(PORTADA!$B$2,7,29))&lt;&gt;29,"",SUMIFS(MOVIMIENTOS!$F:$F,MOVIMIENTOS!$A:$A,DATE(PORTADA!$B$2,7,29),MOVIMIENTOS!$C:$C,Z$4))</f>
        <v/>
      </c>
      <c r="AA33" s="22">
        <f>IF(DAY(DATE(PORTADA!$B$2,7,29))&lt;&gt;29,"",SUM(T33:Z33))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SUMIFS(MOVIMIENTOS!$F:$F,MOVIMIENTOS!$A:$A,"&gt;="&amp;DATE(PORTADA!$B$2,7,1),MOVIMIENTOS!$A:$A,"&lt;="&amp;EOMONTH(DATE(PORTADA!$B$2,7,1),0),MOVIMIENTOS!$D:$D,$B34)</f>
        <v/>
      </c>
      <c r="E34" s="8">
        <f>C34-D34</f>
        <v/>
      </c>
      <c r="F34" s="9">
        <f>IFERROR(D34/C34,"")</f>
        <v/>
      </c>
      <c r="S34" s="21">
        <f>IF(DAY(DATE(PORTADA!$B$2,7,30))&lt;&gt;30,"",30)</f>
        <v/>
      </c>
      <c r="T34" s="22">
        <f>IF(DAY(DATE(PORTADA!$B$2,7,30))&lt;&gt;30,"",SUMIFS(MOVIMIENTOS!$F:$F,MOVIMIENTOS!$A:$A,DATE(PORTADA!$B$2,7,30),MOVIMIENTOS!$C:$C,T$4))</f>
        <v/>
      </c>
      <c r="U34" s="22">
        <f>IF(DAY(DATE(PORTADA!$B$2,7,30))&lt;&gt;30,"",SUMIFS(MOVIMIENTOS!$F:$F,MOVIMIENTOS!$A:$A,DATE(PORTADA!$B$2,7,30),MOVIMIENTOS!$C:$C,U$4))</f>
        <v/>
      </c>
      <c r="V34" s="22">
        <f>IF(DAY(DATE(PORTADA!$B$2,7,30))&lt;&gt;30,"",SUMIFS(MOVIMIENTOS!$F:$F,MOVIMIENTOS!$A:$A,DATE(PORTADA!$B$2,7,30),MOVIMIENTOS!$C:$C,V$4))</f>
        <v/>
      </c>
      <c r="W34" s="22">
        <f>IF(DAY(DATE(PORTADA!$B$2,7,30))&lt;&gt;30,"",SUMIFS(MOVIMIENTOS!$F:$F,MOVIMIENTOS!$A:$A,DATE(PORTADA!$B$2,7,30),MOVIMIENTOS!$C:$C,W$4))</f>
        <v/>
      </c>
      <c r="X34" s="22">
        <f>IF(DAY(DATE(PORTADA!$B$2,7,30))&lt;&gt;30,"",SUMIFS(MOVIMIENTOS!$F:$F,MOVIMIENTOS!$A:$A,DATE(PORTADA!$B$2,7,30),MOVIMIENTOS!$C:$C,X$4))</f>
        <v/>
      </c>
      <c r="Y34" s="22">
        <f>IF(DAY(DATE(PORTADA!$B$2,7,30))&lt;&gt;30,"",SUMIFS(MOVIMIENTOS!$F:$F,MOVIMIENTOS!$A:$A,DATE(PORTADA!$B$2,7,30),MOVIMIENTOS!$C:$C,Y$4))</f>
        <v/>
      </c>
      <c r="Z34" s="22">
        <f>IF(DAY(DATE(PORTADA!$B$2,7,30))&lt;&gt;30,"",SUMIFS(MOVIMIENTOS!$F:$F,MOVIMIENTOS!$A:$A,DATE(PORTADA!$B$2,7,30),MOVIMIENTOS!$C:$C,Z$4))</f>
        <v/>
      </c>
      <c r="AA34" s="22">
        <f>IF(DAY(DATE(PORTADA!$B$2,7,30))&lt;&gt;30,"",SUM(T34:Z34))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SUMIFS(MOVIMIENTOS!$F:$F,MOVIMIENTOS!$A:$A,"&gt;="&amp;DATE(PORTADA!$B$2,7,1),MOVIMIENTOS!$A:$A,"&lt;="&amp;EOMONTH(DATE(PORTADA!$B$2,7,1),0),MOVIMIENTOS!$D:$D,$B35)</f>
        <v/>
      </c>
      <c r="E35" s="8">
        <f>C35-D35</f>
        <v/>
      </c>
      <c r="F35" s="9">
        <f>IFERROR(D35/C35,"")</f>
        <v/>
      </c>
      <c r="S35" s="21">
        <f>IF(DAY(DATE(PORTADA!$B$2,7,31))&lt;&gt;31,"",31)</f>
        <v/>
      </c>
      <c r="T35" s="22">
        <f>IF(DAY(DATE(PORTADA!$B$2,7,31))&lt;&gt;31,"",SUMIFS(MOVIMIENTOS!$F:$F,MOVIMIENTOS!$A:$A,DATE(PORTADA!$B$2,7,31),MOVIMIENTOS!$C:$C,T$4))</f>
        <v/>
      </c>
      <c r="U35" s="22">
        <f>IF(DAY(DATE(PORTADA!$B$2,7,31))&lt;&gt;31,"",SUMIFS(MOVIMIENTOS!$F:$F,MOVIMIENTOS!$A:$A,DATE(PORTADA!$B$2,7,31),MOVIMIENTOS!$C:$C,U$4))</f>
        <v/>
      </c>
      <c r="V35" s="22">
        <f>IF(DAY(DATE(PORTADA!$B$2,7,31))&lt;&gt;31,"",SUMIFS(MOVIMIENTOS!$F:$F,MOVIMIENTOS!$A:$A,DATE(PORTADA!$B$2,7,31),MOVIMIENTOS!$C:$C,V$4))</f>
        <v/>
      </c>
      <c r="W35" s="22">
        <f>IF(DAY(DATE(PORTADA!$B$2,7,31))&lt;&gt;31,"",SUMIFS(MOVIMIENTOS!$F:$F,MOVIMIENTOS!$A:$A,DATE(PORTADA!$B$2,7,31),MOVIMIENTOS!$C:$C,W$4))</f>
        <v/>
      </c>
      <c r="X35" s="22">
        <f>IF(DAY(DATE(PORTADA!$B$2,7,31))&lt;&gt;31,"",SUMIFS(MOVIMIENTOS!$F:$F,MOVIMIENTOS!$A:$A,DATE(PORTADA!$B$2,7,31),MOVIMIENTOS!$C:$C,X$4))</f>
        <v/>
      </c>
      <c r="Y35" s="22">
        <f>IF(DAY(DATE(PORTADA!$B$2,7,31))&lt;&gt;31,"",SUMIFS(MOVIMIENTOS!$F:$F,MOVIMIENTOS!$A:$A,DATE(PORTADA!$B$2,7,31),MOVIMIENTOS!$C:$C,Y$4))</f>
        <v/>
      </c>
      <c r="Z35" s="22">
        <f>IF(DAY(DATE(PORTADA!$B$2,7,31))&lt;&gt;31,"",SUMIFS(MOVIMIENTOS!$F:$F,MOVIMIENTOS!$A:$A,DATE(PORTADA!$B$2,7,31),MOVIMIENTOS!$C:$C,Z$4))</f>
        <v/>
      </c>
      <c r="AA35" s="22">
        <f>IF(DAY(DATE(PORTADA!$B$2,7,31))&lt;&gt;31,"",SUM(T35:Z35))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SUMIFS(MOVIMIENTOS!$F:$F,MOVIMIENTOS!$A:$A,"&gt;="&amp;DATE(PORTADA!$B$2,7,1),MOVIMIENTOS!$A:$A,"&lt;="&amp;EOMONTH(DATE(PORTADA!$B$2,7,1),0),MOVIMIENTOS!$D:$D,$B36)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SUMIFS(MOVIMIENTOS!$F:$F,MOVIMIENTOS!$A:$A,"&gt;="&amp;DATE(PORTADA!$B$2,7,1),MOVIMIENTOS!$A:$A,"&lt;="&amp;EOMONTH(DATE(PORTADA!$B$2,7,1),0),MOVIMIENTOS!$D:$D,$B37)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SUMIFS(MOVIMIENTOS!$F:$F,MOVIMIENTOS!$A:$A,"&gt;="&amp;DATE(PORTADA!$B$2,7,1),MOVIMIENTOS!$A:$A,"&lt;="&amp;EOMONTH(DATE(PORTADA!$B$2,7,1),0),MOVIMIENTOS!$D:$D,$B38)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SUMIFS(MOVIMIENTOS!$F:$F,MOVIMIENTOS!$A:$A,"&gt;="&amp;DATE(PORTADA!$B$2,7,1),MOVIMIENTOS!$A:$A,"&lt;="&amp;EOMONTH(DATE(PORTADA!$B$2,7,1),0),MOVIMIENTOS!$D:$D,$B39)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SUMIFS(MOVIMIENTOS!$F:$F,MOVIMIENTOS!$A:$A,"&gt;="&amp;DATE(PORTADA!$B$2,7,1),MOVIMIENTOS!$A:$A,"&lt;="&amp;EOMONTH(DATE(PORTADA!$B$2,7,1),0),MOVIMIENTOS!$E:$E,"GASTO")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SUMIFS(MOVIMIENTOS!$F:$F,MOVIMIENTOS!$A:$A,"&gt;="&amp;DATE(PORTADA!$B$2,7,1),MOVIMIENTOS!$A:$A,"&lt;="&amp;EOMONTH(DATE(PORTADA!$B$2,7,1),0),MOVIMIENTOS!$E:$E,"AHORRO")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SUMIFS(MOVIMIENTOS!$F:$F,MOVIMIENTOS!$A:$A,"&gt;="&amp;DATE(PORTADA!$B$2,7,1),MOVIMIENTOS!$A:$A,"&lt;="&amp;EOMONTH(DATE(PORTADA!$B$2,7,1),0),MOVIMIENTOS!$E:$E,"DEUDA")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AGOSTO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IF(DAY(DATE(PORTADA!$B$2,8,1))&lt;&gt;1,"",1)</f>
        <v/>
      </c>
      <c r="T5" s="22">
        <f>IF(DAY(DATE(PORTADA!$B$2,8,1))&lt;&gt;1,"",SUMIFS(MOVIMIENTOS!$F:$F,MOVIMIENTOS!$A:$A,DATE(PORTADA!$B$2,8,1),MOVIMIENTOS!$C:$C,T$4))</f>
        <v/>
      </c>
      <c r="U5" s="22">
        <f>IF(DAY(DATE(PORTADA!$B$2,8,1))&lt;&gt;1,"",SUMIFS(MOVIMIENTOS!$F:$F,MOVIMIENTOS!$A:$A,DATE(PORTADA!$B$2,8,1),MOVIMIENTOS!$C:$C,U$4))</f>
        <v/>
      </c>
      <c r="V5" s="22">
        <f>IF(DAY(DATE(PORTADA!$B$2,8,1))&lt;&gt;1,"",SUMIFS(MOVIMIENTOS!$F:$F,MOVIMIENTOS!$A:$A,DATE(PORTADA!$B$2,8,1),MOVIMIENTOS!$C:$C,V$4))</f>
        <v/>
      </c>
      <c r="W5" s="22">
        <f>IF(DAY(DATE(PORTADA!$B$2,8,1))&lt;&gt;1,"",SUMIFS(MOVIMIENTOS!$F:$F,MOVIMIENTOS!$A:$A,DATE(PORTADA!$B$2,8,1),MOVIMIENTOS!$C:$C,W$4))</f>
        <v/>
      </c>
      <c r="X5" s="22">
        <f>IF(DAY(DATE(PORTADA!$B$2,8,1))&lt;&gt;1,"",SUMIFS(MOVIMIENTOS!$F:$F,MOVIMIENTOS!$A:$A,DATE(PORTADA!$B$2,8,1),MOVIMIENTOS!$C:$C,X$4))</f>
        <v/>
      </c>
      <c r="Y5" s="22">
        <f>IF(DAY(DATE(PORTADA!$B$2,8,1))&lt;&gt;1,"",SUMIFS(MOVIMIENTOS!$F:$F,MOVIMIENTOS!$A:$A,DATE(PORTADA!$B$2,8,1),MOVIMIENTOS!$C:$C,Y$4))</f>
        <v/>
      </c>
      <c r="Z5" s="22">
        <f>IF(DAY(DATE(PORTADA!$B$2,8,1))&lt;&gt;1,"",SUMIFS(MOVIMIENTOS!$F:$F,MOVIMIENTOS!$A:$A,DATE(PORTADA!$B$2,8,1),MOVIMIENTOS!$C:$C,Z$4))</f>
        <v/>
      </c>
      <c r="AA5" s="22">
        <f>IF(DAY(DATE(PORTADA!$B$2,8,1))&lt;&gt;1,"",SUM(T5:Z5))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SUMIFS(MOVIMIENTOS!$F:$F,MOVIMIENTOS!$A:$A,"&gt;="&amp;DATE(PORTADA!$B$2,8,1),MOVIMIENTOS!$A:$A,"&lt;="&amp;EOMONTH(DATE(PORTADA!$B$2,8,1),0),MOVIMIENTOS!$D:$D,$B6)</f>
        <v/>
      </c>
      <c r="E6" s="8">
        <f>D6-C6</f>
        <v/>
      </c>
      <c r="F6" s="9">
        <f>IFERROR(D6/C6,"")</f>
        <v/>
      </c>
      <c r="S6" s="21">
        <f>IF(DAY(DATE(PORTADA!$B$2,8,2))&lt;&gt;2,"",2)</f>
        <v/>
      </c>
      <c r="T6" s="22">
        <f>IF(DAY(DATE(PORTADA!$B$2,8,2))&lt;&gt;2,"",SUMIFS(MOVIMIENTOS!$F:$F,MOVIMIENTOS!$A:$A,DATE(PORTADA!$B$2,8,2),MOVIMIENTOS!$C:$C,T$4))</f>
        <v/>
      </c>
      <c r="U6" s="22">
        <f>IF(DAY(DATE(PORTADA!$B$2,8,2))&lt;&gt;2,"",SUMIFS(MOVIMIENTOS!$F:$F,MOVIMIENTOS!$A:$A,DATE(PORTADA!$B$2,8,2),MOVIMIENTOS!$C:$C,U$4))</f>
        <v/>
      </c>
      <c r="V6" s="22">
        <f>IF(DAY(DATE(PORTADA!$B$2,8,2))&lt;&gt;2,"",SUMIFS(MOVIMIENTOS!$F:$F,MOVIMIENTOS!$A:$A,DATE(PORTADA!$B$2,8,2),MOVIMIENTOS!$C:$C,V$4))</f>
        <v/>
      </c>
      <c r="W6" s="22">
        <f>IF(DAY(DATE(PORTADA!$B$2,8,2))&lt;&gt;2,"",SUMIFS(MOVIMIENTOS!$F:$F,MOVIMIENTOS!$A:$A,DATE(PORTADA!$B$2,8,2),MOVIMIENTOS!$C:$C,W$4))</f>
        <v/>
      </c>
      <c r="X6" s="22">
        <f>IF(DAY(DATE(PORTADA!$B$2,8,2))&lt;&gt;2,"",SUMIFS(MOVIMIENTOS!$F:$F,MOVIMIENTOS!$A:$A,DATE(PORTADA!$B$2,8,2),MOVIMIENTOS!$C:$C,X$4))</f>
        <v/>
      </c>
      <c r="Y6" s="22">
        <f>IF(DAY(DATE(PORTADA!$B$2,8,2))&lt;&gt;2,"",SUMIFS(MOVIMIENTOS!$F:$F,MOVIMIENTOS!$A:$A,DATE(PORTADA!$B$2,8,2),MOVIMIENTOS!$C:$C,Y$4))</f>
        <v/>
      </c>
      <c r="Z6" s="22">
        <f>IF(DAY(DATE(PORTADA!$B$2,8,2))&lt;&gt;2,"",SUMIFS(MOVIMIENTOS!$F:$F,MOVIMIENTOS!$A:$A,DATE(PORTADA!$B$2,8,2),MOVIMIENTOS!$C:$C,Z$4))</f>
        <v/>
      </c>
      <c r="AA6" s="22">
        <f>IF(DAY(DATE(PORTADA!$B$2,8,2))&lt;&gt;2,"",SUM(T6:Z6))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SUMIFS(MOVIMIENTOS!$F:$F,MOVIMIENTOS!$A:$A,"&gt;="&amp;DATE(PORTADA!$B$2,8,1),MOVIMIENTOS!$A:$A,"&lt;="&amp;EOMONTH(DATE(PORTADA!$B$2,8,1),0),MOVIMIENTOS!$D:$D,$B7)</f>
        <v/>
      </c>
      <c r="E7" s="8">
        <f>D7-C7</f>
        <v/>
      </c>
      <c r="F7" s="9">
        <f>IFERROR(D7/C7,"")</f>
        <v/>
      </c>
      <c r="S7" s="21">
        <f>IF(DAY(DATE(PORTADA!$B$2,8,3))&lt;&gt;3,"",3)</f>
        <v/>
      </c>
      <c r="T7" s="22">
        <f>IF(DAY(DATE(PORTADA!$B$2,8,3))&lt;&gt;3,"",SUMIFS(MOVIMIENTOS!$F:$F,MOVIMIENTOS!$A:$A,DATE(PORTADA!$B$2,8,3),MOVIMIENTOS!$C:$C,T$4))</f>
        <v/>
      </c>
      <c r="U7" s="22">
        <f>IF(DAY(DATE(PORTADA!$B$2,8,3))&lt;&gt;3,"",SUMIFS(MOVIMIENTOS!$F:$F,MOVIMIENTOS!$A:$A,DATE(PORTADA!$B$2,8,3),MOVIMIENTOS!$C:$C,U$4))</f>
        <v/>
      </c>
      <c r="V7" s="22">
        <f>IF(DAY(DATE(PORTADA!$B$2,8,3))&lt;&gt;3,"",SUMIFS(MOVIMIENTOS!$F:$F,MOVIMIENTOS!$A:$A,DATE(PORTADA!$B$2,8,3),MOVIMIENTOS!$C:$C,V$4))</f>
        <v/>
      </c>
      <c r="W7" s="22">
        <f>IF(DAY(DATE(PORTADA!$B$2,8,3))&lt;&gt;3,"",SUMIFS(MOVIMIENTOS!$F:$F,MOVIMIENTOS!$A:$A,DATE(PORTADA!$B$2,8,3),MOVIMIENTOS!$C:$C,W$4))</f>
        <v/>
      </c>
      <c r="X7" s="22">
        <f>IF(DAY(DATE(PORTADA!$B$2,8,3))&lt;&gt;3,"",SUMIFS(MOVIMIENTOS!$F:$F,MOVIMIENTOS!$A:$A,DATE(PORTADA!$B$2,8,3),MOVIMIENTOS!$C:$C,X$4))</f>
        <v/>
      </c>
      <c r="Y7" s="22">
        <f>IF(DAY(DATE(PORTADA!$B$2,8,3))&lt;&gt;3,"",SUMIFS(MOVIMIENTOS!$F:$F,MOVIMIENTOS!$A:$A,DATE(PORTADA!$B$2,8,3),MOVIMIENTOS!$C:$C,Y$4))</f>
        <v/>
      </c>
      <c r="Z7" s="22">
        <f>IF(DAY(DATE(PORTADA!$B$2,8,3))&lt;&gt;3,"",SUMIFS(MOVIMIENTOS!$F:$F,MOVIMIENTOS!$A:$A,DATE(PORTADA!$B$2,8,3),MOVIMIENTOS!$C:$C,Z$4))</f>
        <v/>
      </c>
      <c r="AA7" s="22">
        <f>IF(DAY(DATE(PORTADA!$B$2,8,3))&lt;&gt;3,"",SUM(T7:Z7))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SUMIFS(MOVIMIENTOS!$F:$F,MOVIMIENTOS!$A:$A,"&gt;="&amp;DATE(PORTADA!$B$2,8,1),MOVIMIENTOS!$A:$A,"&lt;="&amp;EOMONTH(DATE(PORTADA!$B$2,8,1),0),MOVIMIENTOS!$D:$D,$B8)</f>
        <v/>
      </c>
      <c r="E8" s="8">
        <f>D8-C8</f>
        <v/>
      </c>
      <c r="F8" s="9">
        <f>IFERROR(D8/C8,"")</f>
        <v/>
      </c>
      <c r="S8" s="21">
        <f>IF(DAY(DATE(PORTADA!$B$2,8,4))&lt;&gt;4,"",4)</f>
        <v/>
      </c>
      <c r="T8" s="22">
        <f>IF(DAY(DATE(PORTADA!$B$2,8,4))&lt;&gt;4,"",SUMIFS(MOVIMIENTOS!$F:$F,MOVIMIENTOS!$A:$A,DATE(PORTADA!$B$2,8,4),MOVIMIENTOS!$C:$C,T$4))</f>
        <v/>
      </c>
      <c r="U8" s="22">
        <f>IF(DAY(DATE(PORTADA!$B$2,8,4))&lt;&gt;4,"",SUMIFS(MOVIMIENTOS!$F:$F,MOVIMIENTOS!$A:$A,DATE(PORTADA!$B$2,8,4),MOVIMIENTOS!$C:$C,U$4))</f>
        <v/>
      </c>
      <c r="V8" s="22">
        <f>IF(DAY(DATE(PORTADA!$B$2,8,4))&lt;&gt;4,"",SUMIFS(MOVIMIENTOS!$F:$F,MOVIMIENTOS!$A:$A,DATE(PORTADA!$B$2,8,4),MOVIMIENTOS!$C:$C,V$4))</f>
        <v/>
      </c>
      <c r="W8" s="22">
        <f>IF(DAY(DATE(PORTADA!$B$2,8,4))&lt;&gt;4,"",SUMIFS(MOVIMIENTOS!$F:$F,MOVIMIENTOS!$A:$A,DATE(PORTADA!$B$2,8,4),MOVIMIENTOS!$C:$C,W$4))</f>
        <v/>
      </c>
      <c r="X8" s="22">
        <f>IF(DAY(DATE(PORTADA!$B$2,8,4))&lt;&gt;4,"",SUMIFS(MOVIMIENTOS!$F:$F,MOVIMIENTOS!$A:$A,DATE(PORTADA!$B$2,8,4),MOVIMIENTOS!$C:$C,X$4))</f>
        <v/>
      </c>
      <c r="Y8" s="22">
        <f>IF(DAY(DATE(PORTADA!$B$2,8,4))&lt;&gt;4,"",SUMIFS(MOVIMIENTOS!$F:$F,MOVIMIENTOS!$A:$A,DATE(PORTADA!$B$2,8,4),MOVIMIENTOS!$C:$C,Y$4))</f>
        <v/>
      </c>
      <c r="Z8" s="22">
        <f>IF(DAY(DATE(PORTADA!$B$2,8,4))&lt;&gt;4,"",SUMIFS(MOVIMIENTOS!$F:$F,MOVIMIENTOS!$A:$A,DATE(PORTADA!$B$2,8,4),MOVIMIENTOS!$C:$C,Z$4))</f>
        <v/>
      </c>
      <c r="AA8" s="22">
        <f>IF(DAY(DATE(PORTADA!$B$2,8,4))&lt;&gt;4,"",SUM(T8:Z8))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SUMIFS(MOVIMIENTOS!$F:$F,MOVIMIENTOS!$A:$A,"&gt;="&amp;DATE(PORTADA!$B$2,8,1),MOVIMIENTOS!$A:$A,"&lt;="&amp;EOMONTH(DATE(PORTADA!$B$2,8,1),0),MOVIMIENTOS!$D:$D,$B9)</f>
        <v/>
      </c>
      <c r="E9" s="8">
        <f>D9-C9</f>
        <v/>
      </c>
      <c r="F9" s="9">
        <f>IFERROR(D9/C9,"")</f>
        <v/>
      </c>
      <c r="S9" s="21">
        <f>IF(DAY(DATE(PORTADA!$B$2,8,5))&lt;&gt;5,"",5)</f>
        <v/>
      </c>
      <c r="T9" s="22">
        <f>IF(DAY(DATE(PORTADA!$B$2,8,5))&lt;&gt;5,"",SUMIFS(MOVIMIENTOS!$F:$F,MOVIMIENTOS!$A:$A,DATE(PORTADA!$B$2,8,5),MOVIMIENTOS!$C:$C,T$4))</f>
        <v/>
      </c>
      <c r="U9" s="22">
        <f>IF(DAY(DATE(PORTADA!$B$2,8,5))&lt;&gt;5,"",SUMIFS(MOVIMIENTOS!$F:$F,MOVIMIENTOS!$A:$A,DATE(PORTADA!$B$2,8,5),MOVIMIENTOS!$C:$C,U$4))</f>
        <v/>
      </c>
      <c r="V9" s="22">
        <f>IF(DAY(DATE(PORTADA!$B$2,8,5))&lt;&gt;5,"",SUMIFS(MOVIMIENTOS!$F:$F,MOVIMIENTOS!$A:$A,DATE(PORTADA!$B$2,8,5),MOVIMIENTOS!$C:$C,V$4))</f>
        <v/>
      </c>
      <c r="W9" s="22">
        <f>IF(DAY(DATE(PORTADA!$B$2,8,5))&lt;&gt;5,"",SUMIFS(MOVIMIENTOS!$F:$F,MOVIMIENTOS!$A:$A,DATE(PORTADA!$B$2,8,5),MOVIMIENTOS!$C:$C,W$4))</f>
        <v/>
      </c>
      <c r="X9" s="22">
        <f>IF(DAY(DATE(PORTADA!$B$2,8,5))&lt;&gt;5,"",SUMIFS(MOVIMIENTOS!$F:$F,MOVIMIENTOS!$A:$A,DATE(PORTADA!$B$2,8,5),MOVIMIENTOS!$C:$C,X$4))</f>
        <v/>
      </c>
      <c r="Y9" s="22">
        <f>IF(DAY(DATE(PORTADA!$B$2,8,5))&lt;&gt;5,"",SUMIFS(MOVIMIENTOS!$F:$F,MOVIMIENTOS!$A:$A,DATE(PORTADA!$B$2,8,5),MOVIMIENTOS!$C:$C,Y$4))</f>
        <v/>
      </c>
      <c r="Z9" s="22">
        <f>IF(DAY(DATE(PORTADA!$B$2,8,5))&lt;&gt;5,"",SUMIFS(MOVIMIENTOS!$F:$F,MOVIMIENTOS!$A:$A,DATE(PORTADA!$B$2,8,5),MOVIMIENTOS!$C:$C,Z$4))</f>
        <v/>
      </c>
      <c r="AA9" s="22">
        <f>IF(DAY(DATE(PORTADA!$B$2,8,5))&lt;&gt;5,"",SUM(T9:Z9))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SUMIFS(MOVIMIENTOS!$F:$F,MOVIMIENTOS!$A:$A,"&gt;="&amp;DATE(PORTADA!$B$2,8,1),MOVIMIENTOS!$A:$A,"&lt;="&amp;EOMONTH(DATE(PORTADA!$B$2,8,1),0),MOVIMIENTOS!$D:$D,$B10)</f>
        <v/>
      </c>
      <c r="E10" s="8">
        <f>D10-C10</f>
        <v/>
      </c>
      <c r="F10" s="9">
        <f>IFERROR(D10/C10,"")</f>
        <v/>
      </c>
      <c r="S10" s="21">
        <f>IF(DAY(DATE(PORTADA!$B$2,8,6))&lt;&gt;6,"",6)</f>
        <v/>
      </c>
      <c r="T10" s="22">
        <f>IF(DAY(DATE(PORTADA!$B$2,8,6))&lt;&gt;6,"",SUMIFS(MOVIMIENTOS!$F:$F,MOVIMIENTOS!$A:$A,DATE(PORTADA!$B$2,8,6),MOVIMIENTOS!$C:$C,T$4))</f>
        <v/>
      </c>
      <c r="U10" s="22">
        <f>IF(DAY(DATE(PORTADA!$B$2,8,6))&lt;&gt;6,"",SUMIFS(MOVIMIENTOS!$F:$F,MOVIMIENTOS!$A:$A,DATE(PORTADA!$B$2,8,6),MOVIMIENTOS!$C:$C,U$4))</f>
        <v/>
      </c>
      <c r="V10" s="22">
        <f>IF(DAY(DATE(PORTADA!$B$2,8,6))&lt;&gt;6,"",SUMIFS(MOVIMIENTOS!$F:$F,MOVIMIENTOS!$A:$A,DATE(PORTADA!$B$2,8,6),MOVIMIENTOS!$C:$C,V$4))</f>
        <v/>
      </c>
      <c r="W10" s="22">
        <f>IF(DAY(DATE(PORTADA!$B$2,8,6))&lt;&gt;6,"",SUMIFS(MOVIMIENTOS!$F:$F,MOVIMIENTOS!$A:$A,DATE(PORTADA!$B$2,8,6),MOVIMIENTOS!$C:$C,W$4))</f>
        <v/>
      </c>
      <c r="X10" s="22">
        <f>IF(DAY(DATE(PORTADA!$B$2,8,6))&lt;&gt;6,"",SUMIFS(MOVIMIENTOS!$F:$F,MOVIMIENTOS!$A:$A,DATE(PORTADA!$B$2,8,6),MOVIMIENTOS!$C:$C,X$4))</f>
        <v/>
      </c>
      <c r="Y10" s="22">
        <f>IF(DAY(DATE(PORTADA!$B$2,8,6))&lt;&gt;6,"",SUMIFS(MOVIMIENTOS!$F:$F,MOVIMIENTOS!$A:$A,DATE(PORTADA!$B$2,8,6),MOVIMIENTOS!$C:$C,Y$4))</f>
        <v/>
      </c>
      <c r="Z10" s="22">
        <f>IF(DAY(DATE(PORTADA!$B$2,8,6))&lt;&gt;6,"",SUMIFS(MOVIMIENTOS!$F:$F,MOVIMIENTOS!$A:$A,DATE(PORTADA!$B$2,8,6),MOVIMIENTOS!$C:$C,Z$4))</f>
        <v/>
      </c>
      <c r="AA10" s="22">
        <f>IF(DAY(DATE(PORTADA!$B$2,8,6))&lt;&gt;6,"",SUM(T10:Z10))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SUMIFS(MOVIMIENTOS!$F:$F,MOVIMIENTOS!$A:$A,"&gt;="&amp;DATE(PORTADA!$B$2,8,1),MOVIMIENTOS!$A:$A,"&lt;="&amp;EOMONTH(DATE(PORTADA!$B$2,8,1),0),MOVIMIENTOS!$D:$D,$B11)</f>
        <v/>
      </c>
      <c r="E11" s="8">
        <f>D11-C11</f>
        <v/>
      </c>
      <c r="F11" s="9">
        <f>IFERROR(D11/C11,"")</f>
        <v/>
      </c>
      <c r="S11" s="21">
        <f>IF(DAY(DATE(PORTADA!$B$2,8,7))&lt;&gt;7,"",7)</f>
        <v/>
      </c>
      <c r="T11" s="22">
        <f>IF(DAY(DATE(PORTADA!$B$2,8,7))&lt;&gt;7,"",SUMIFS(MOVIMIENTOS!$F:$F,MOVIMIENTOS!$A:$A,DATE(PORTADA!$B$2,8,7),MOVIMIENTOS!$C:$C,T$4))</f>
        <v/>
      </c>
      <c r="U11" s="22">
        <f>IF(DAY(DATE(PORTADA!$B$2,8,7))&lt;&gt;7,"",SUMIFS(MOVIMIENTOS!$F:$F,MOVIMIENTOS!$A:$A,DATE(PORTADA!$B$2,8,7),MOVIMIENTOS!$C:$C,U$4))</f>
        <v/>
      </c>
      <c r="V11" s="22">
        <f>IF(DAY(DATE(PORTADA!$B$2,8,7))&lt;&gt;7,"",SUMIFS(MOVIMIENTOS!$F:$F,MOVIMIENTOS!$A:$A,DATE(PORTADA!$B$2,8,7),MOVIMIENTOS!$C:$C,V$4))</f>
        <v/>
      </c>
      <c r="W11" s="22">
        <f>IF(DAY(DATE(PORTADA!$B$2,8,7))&lt;&gt;7,"",SUMIFS(MOVIMIENTOS!$F:$F,MOVIMIENTOS!$A:$A,DATE(PORTADA!$B$2,8,7),MOVIMIENTOS!$C:$C,W$4))</f>
        <v/>
      </c>
      <c r="X11" s="22">
        <f>IF(DAY(DATE(PORTADA!$B$2,8,7))&lt;&gt;7,"",SUMIFS(MOVIMIENTOS!$F:$F,MOVIMIENTOS!$A:$A,DATE(PORTADA!$B$2,8,7),MOVIMIENTOS!$C:$C,X$4))</f>
        <v/>
      </c>
      <c r="Y11" s="22">
        <f>IF(DAY(DATE(PORTADA!$B$2,8,7))&lt;&gt;7,"",SUMIFS(MOVIMIENTOS!$F:$F,MOVIMIENTOS!$A:$A,DATE(PORTADA!$B$2,8,7),MOVIMIENTOS!$C:$C,Y$4))</f>
        <v/>
      </c>
      <c r="Z11" s="22">
        <f>IF(DAY(DATE(PORTADA!$B$2,8,7))&lt;&gt;7,"",SUMIFS(MOVIMIENTOS!$F:$F,MOVIMIENTOS!$A:$A,DATE(PORTADA!$B$2,8,7),MOVIMIENTOS!$C:$C,Z$4))</f>
        <v/>
      </c>
      <c r="AA11" s="22">
        <f>IF(DAY(DATE(PORTADA!$B$2,8,7))&lt;&gt;7,"",SUM(T11:Z11))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SUMIFS(MOVIMIENTOS!$F:$F,MOVIMIENTOS!$A:$A,"&gt;="&amp;DATE(PORTADA!$B$2,8,1),MOVIMIENTOS!$A:$A,"&lt;="&amp;EOMONTH(DATE(PORTADA!$B$2,8,1),0),MOVIMIENTOS!$D:$D,$B12)</f>
        <v/>
      </c>
      <c r="E12" s="8">
        <f>D12-C12</f>
        <v/>
      </c>
      <c r="F12" s="9">
        <f>IFERROR(D12/C12,"")</f>
        <v/>
      </c>
      <c r="S12" s="21">
        <f>IF(DAY(DATE(PORTADA!$B$2,8,8))&lt;&gt;8,"",8)</f>
        <v/>
      </c>
      <c r="T12" s="22">
        <f>IF(DAY(DATE(PORTADA!$B$2,8,8))&lt;&gt;8,"",SUMIFS(MOVIMIENTOS!$F:$F,MOVIMIENTOS!$A:$A,DATE(PORTADA!$B$2,8,8),MOVIMIENTOS!$C:$C,T$4))</f>
        <v/>
      </c>
      <c r="U12" s="22">
        <f>IF(DAY(DATE(PORTADA!$B$2,8,8))&lt;&gt;8,"",SUMIFS(MOVIMIENTOS!$F:$F,MOVIMIENTOS!$A:$A,DATE(PORTADA!$B$2,8,8),MOVIMIENTOS!$C:$C,U$4))</f>
        <v/>
      </c>
      <c r="V12" s="22">
        <f>IF(DAY(DATE(PORTADA!$B$2,8,8))&lt;&gt;8,"",SUMIFS(MOVIMIENTOS!$F:$F,MOVIMIENTOS!$A:$A,DATE(PORTADA!$B$2,8,8),MOVIMIENTOS!$C:$C,V$4))</f>
        <v/>
      </c>
      <c r="W12" s="22">
        <f>IF(DAY(DATE(PORTADA!$B$2,8,8))&lt;&gt;8,"",SUMIFS(MOVIMIENTOS!$F:$F,MOVIMIENTOS!$A:$A,DATE(PORTADA!$B$2,8,8),MOVIMIENTOS!$C:$C,W$4))</f>
        <v/>
      </c>
      <c r="X12" s="22">
        <f>IF(DAY(DATE(PORTADA!$B$2,8,8))&lt;&gt;8,"",SUMIFS(MOVIMIENTOS!$F:$F,MOVIMIENTOS!$A:$A,DATE(PORTADA!$B$2,8,8),MOVIMIENTOS!$C:$C,X$4))</f>
        <v/>
      </c>
      <c r="Y12" s="22">
        <f>IF(DAY(DATE(PORTADA!$B$2,8,8))&lt;&gt;8,"",SUMIFS(MOVIMIENTOS!$F:$F,MOVIMIENTOS!$A:$A,DATE(PORTADA!$B$2,8,8),MOVIMIENTOS!$C:$C,Y$4))</f>
        <v/>
      </c>
      <c r="Z12" s="22">
        <f>IF(DAY(DATE(PORTADA!$B$2,8,8))&lt;&gt;8,"",SUMIFS(MOVIMIENTOS!$F:$F,MOVIMIENTOS!$A:$A,DATE(PORTADA!$B$2,8,8),MOVIMIENTOS!$C:$C,Z$4))</f>
        <v/>
      </c>
      <c r="AA12" s="22">
        <f>IF(DAY(DATE(PORTADA!$B$2,8,8))&lt;&gt;8,"",SUM(T12:Z12))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IF(DAY(DATE(PORTADA!$B$2,8,9))&lt;&gt;9,"",9)</f>
        <v/>
      </c>
      <c r="T13" s="22">
        <f>IF(DAY(DATE(PORTADA!$B$2,8,9))&lt;&gt;9,"",SUMIFS(MOVIMIENTOS!$F:$F,MOVIMIENTOS!$A:$A,DATE(PORTADA!$B$2,8,9),MOVIMIENTOS!$C:$C,T$4))</f>
        <v/>
      </c>
      <c r="U13" s="22">
        <f>IF(DAY(DATE(PORTADA!$B$2,8,9))&lt;&gt;9,"",SUMIFS(MOVIMIENTOS!$F:$F,MOVIMIENTOS!$A:$A,DATE(PORTADA!$B$2,8,9),MOVIMIENTOS!$C:$C,U$4))</f>
        <v/>
      </c>
      <c r="V13" s="22">
        <f>IF(DAY(DATE(PORTADA!$B$2,8,9))&lt;&gt;9,"",SUMIFS(MOVIMIENTOS!$F:$F,MOVIMIENTOS!$A:$A,DATE(PORTADA!$B$2,8,9),MOVIMIENTOS!$C:$C,V$4))</f>
        <v/>
      </c>
      <c r="W13" s="22">
        <f>IF(DAY(DATE(PORTADA!$B$2,8,9))&lt;&gt;9,"",SUMIFS(MOVIMIENTOS!$F:$F,MOVIMIENTOS!$A:$A,DATE(PORTADA!$B$2,8,9),MOVIMIENTOS!$C:$C,W$4))</f>
        <v/>
      </c>
      <c r="X13" s="22">
        <f>IF(DAY(DATE(PORTADA!$B$2,8,9))&lt;&gt;9,"",SUMIFS(MOVIMIENTOS!$F:$F,MOVIMIENTOS!$A:$A,DATE(PORTADA!$B$2,8,9),MOVIMIENTOS!$C:$C,X$4))</f>
        <v/>
      </c>
      <c r="Y13" s="22">
        <f>IF(DAY(DATE(PORTADA!$B$2,8,9))&lt;&gt;9,"",SUMIFS(MOVIMIENTOS!$F:$F,MOVIMIENTOS!$A:$A,DATE(PORTADA!$B$2,8,9),MOVIMIENTOS!$C:$C,Y$4))</f>
        <v/>
      </c>
      <c r="Z13" s="22">
        <f>IF(DAY(DATE(PORTADA!$B$2,8,9))&lt;&gt;9,"",SUMIFS(MOVIMIENTOS!$F:$F,MOVIMIENTOS!$A:$A,DATE(PORTADA!$B$2,8,9),MOVIMIENTOS!$C:$C,Z$4))</f>
        <v/>
      </c>
      <c r="AA13" s="22">
        <f>IF(DAY(DATE(PORTADA!$B$2,8,9))&lt;&gt;9,"",SUM(T13:Z13))</f>
        <v/>
      </c>
    </row>
    <row r="14">
      <c r="S14" s="21">
        <f>IF(DAY(DATE(PORTADA!$B$2,8,10))&lt;&gt;10,"",10)</f>
        <v/>
      </c>
      <c r="T14" s="22">
        <f>IF(DAY(DATE(PORTADA!$B$2,8,10))&lt;&gt;10,"",SUMIFS(MOVIMIENTOS!$F:$F,MOVIMIENTOS!$A:$A,DATE(PORTADA!$B$2,8,10),MOVIMIENTOS!$C:$C,T$4))</f>
        <v/>
      </c>
      <c r="U14" s="22">
        <f>IF(DAY(DATE(PORTADA!$B$2,8,10))&lt;&gt;10,"",SUMIFS(MOVIMIENTOS!$F:$F,MOVIMIENTOS!$A:$A,DATE(PORTADA!$B$2,8,10),MOVIMIENTOS!$C:$C,U$4))</f>
        <v/>
      </c>
      <c r="V14" s="22">
        <f>IF(DAY(DATE(PORTADA!$B$2,8,10))&lt;&gt;10,"",SUMIFS(MOVIMIENTOS!$F:$F,MOVIMIENTOS!$A:$A,DATE(PORTADA!$B$2,8,10),MOVIMIENTOS!$C:$C,V$4))</f>
        <v/>
      </c>
      <c r="W14" s="22">
        <f>IF(DAY(DATE(PORTADA!$B$2,8,10))&lt;&gt;10,"",SUMIFS(MOVIMIENTOS!$F:$F,MOVIMIENTOS!$A:$A,DATE(PORTADA!$B$2,8,10),MOVIMIENTOS!$C:$C,W$4))</f>
        <v/>
      </c>
      <c r="X14" s="22">
        <f>IF(DAY(DATE(PORTADA!$B$2,8,10))&lt;&gt;10,"",SUMIFS(MOVIMIENTOS!$F:$F,MOVIMIENTOS!$A:$A,DATE(PORTADA!$B$2,8,10),MOVIMIENTOS!$C:$C,X$4))</f>
        <v/>
      </c>
      <c r="Y14" s="22">
        <f>IF(DAY(DATE(PORTADA!$B$2,8,10))&lt;&gt;10,"",SUMIFS(MOVIMIENTOS!$F:$F,MOVIMIENTOS!$A:$A,DATE(PORTADA!$B$2,8,10),MOVIMIENTOS!$C:$C,Y$4))</f>
        <v/>
      </c>
      <c r="Z14" s="22">
        <f>IF(DAY(DATE(PORTADA!$B$2,8,10))&lt;&gt;10,"",SUMIFS(MOVIMIENTOS!$F:$F,MOVIMIENTOS!$A:$A,DATE(PORTADA!$B$2,8,10),MOVIMIENTOS!$C:$C,Z$4))</f>
        <v/>
      </c>
      <c r="AA14" s="22">
        <f>IF(DAY(DATE(PORTADA!$B$2,8,10))&lt;&gt;10,"",SUM(T14:Z14))</f>
        <v/>
      </c>
    </row>
    <row r="15">
      <c r="A15" s="2" t="inlineStr">
        <is>
          <t>EGRESOS</t>
        </is>
      </c>
      <c r="S15" s="21">
        <f>IF(DAY(DATE(PORTADA!$B$2,8,11))&lt;&gt;11,"",11)</f>
        <v/>
      </c>
      <c r="T15" s="22">
        <f>IF(DAY(DATE(PORTADA!$B$2,8,11))&lt;&gt;11,"",SUMIFS(MOVIMIENTOS!$F:$F,MOVIMIENTOS!$A:$A,DATE(PORTADA!$B$2,8,11),MOVIMIENTOS!$C:$C,T$4))</f>
        <v/>
      </c>
      <c r="U15" s="22">
        <f>IF(DAY(DATE(PORTADA!$B$2,8,11))&lt;&gt;11,"",SUMIFS(MOVIMIENTOS!$F:$F,MOVIMIENTOS!$A:$A,DATE(PORTADA!$B$2,8,11),MOVIMIENTOS!$C:$C,U$4))</f>
        <v/>
      </c>
      <c r="V15" s="22">
        <f>IF(DAY(DATE(PORTADA!$B$2,8,11))&lt;&gt;11,"",SUMIFS(MOVIMIENTOS!$F:$F,MOVIMIENTOS!$A:$A,DATE(PORTADA!$B$2,8,11),MOVIMIENTOS!$C:$C,V$4))</f>
        <v/>
      </c>
      <c r="W15" s="22">
        <f>IF(DAY(DATE(PORTADA!$B$2,8,11))&lt;&gt;11,"",SUMIFS(MOVIMIENTOS!$F:$F,MOVIMIENTOS!$A:$A,DATE(PORTADA!$B$2,8,11),MOVIMIENTOS!$C:$C,W$4))</f>
        <v/>
      </c>
      <c r="X15" s="22">
        <f>IF(DAY(DATE(PORTADA!$B$2,8,11))&lt;&gt;11,"",SUMIFS(MOVIMIENTOS!$F:$F,MOVIMIENTOS!$A:$A,DATE(PORTADA!$B$2,8,11),MOVIMIENTOS!$C:$C,X$4))</f>
        <v/>
      </c>
      <c r="Y15" s="22">
        <f>IF(DAY(DATE(PORTADA!$B$2,8,11))&lt;&gt;11,"",SUMIFS(MOVIMIENTOS!$F:$F,MOVIMIENTOS!$A:$A,DATE(PORTADA!$B$2,8,11),MOVIMIENTOS!$C:$C,Y$4))</f>
        <v/>
      </c>
      <c r="Z15" s="22">
        <f>IF(DAY(DATE(PORTADA!$B$2,8,11))&lt;&gt;11,"",SUMIFS(MOVIMIENTOS!$F:$F,MOVIMIENTOS!$A:$A,DATE(PORTADA!$B$2,8,11),MOVIMIENTOS!$C:$C,Z$4))</f>
        <v/>
      </c>
      <c r="AA15" s="22">
        <f>IF(DAY(DATE(PORTADA!$B$2,8,11))&lt;&gt;11,"",SUM(T15:Z15))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IF(DAY(DATE(PORTADA!$B$2,8,12))&lt;&gt;12,"",12)</f>
        <v/>
      </c>
      <c r="T16" s="22">
        <f>IF(DAY(DATE(PORTADA!$B$2,8,12))&lt;&gt;12,"",SUMIFS(MOVIMIENTOS!$F:$F,MOVIMIENTOS!$A:$A,DATE(PORTADA!$B$2,8,12),MOVIMIENTOS!$C:$C,T$4))</f>
        <v/>
      </c>
      <c r="U16" s="22">
        <f>IF(DAY(DATE(PORTADA!$B$2,8,12))&lt;&gt;12,"",SUMIFS(MOVIMIENTOS!$F:$F,MOVIMIENTOS!$A:$A,DATE(PORTADA!$B$2,8,12),MOVIMIENTOS!$C:$C,U$4))</f>
        <v/>
      </c>
      <c r="V16" s="22">
        <f>IF(DAY(DATE(PORTADA!$B$2,8,12))&lt;&gt;12,"",SUMIFS(MOVIMIENTOS!$F:$F,MOVIMIENTOS!$A:$A,DATE(PORTADA!$B$2,8,12),MOVIMIENTOS!$C:$C,V$4))</f>
        <v/>
      </c>
      <c r="W16" s="22">
        <f>IF(DAY(DATE(PORTADA!$B$2,8,12))&lt;&gt;12,"",SUMIFS(MOVIMIENTOS!$F:$F,MOVIMIENTOS!$A:$A,DATE(PORTADA!$B$2,8,12),MOVIMIENTOS!$C:$C,W$4))</f>
        <v/>
      </c>
      <c r="X16" s="22">
        <f>IF(DAY(DATE(PORTADA!$B$2,8,12))&lt;&gt;12,"",SUMIFS(MOVIMIENTOS!$F:$F,MOVIMIENTOS!$A:$A,DATE(PORTADA!$B$2,8,12),MOVIMIENTOS!$C:$C,X$4))</f>
        <v/>
      </c>
      <c r="Y16" s="22">
        <f>IF(DAY(DATE(PORTADA!$B$2,8,12))&lt;&gt;12,"",SUMIFS(MOVIMIENTOS!$F:$F,MOVIMIENTOS!$A:$A,DATE(PORTADA!$B$2,8,12),MOVIMIENTOS!$C:$C,Y$4))</f>
        <v/>
      </c>
      <c r="Z16" s="22">
        <f>IF(DAY(DATE(PORTADA!$B$2,8,12))&lt;&gt;12,"",SUMIFS(MOVIMIENTOS!$F:$F,MOVIMIENTOS!$A:$A,DATE(PORTADA!$B$2,8,12),MOVIMIENTOS!$C:$C,Z$4))</f>
        <v/>
      </c>
      <c r="AA16" s="22">
        <f>IF(DAY(DATE(PORTADA!$B$2,8,12))&lt;&gt;12,"",SUM(T16:Z16))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SUMIFS(MOVIMIENTOS!$F:$F,MOVIMIENTOS!$A:$A,"&gt;="&amp;DATE(PORTADA!$B$2,8,1),MOVIMIENTOS!$A:$A,"&lt;="&amp;EOMONTH(DATE(PORTADA!$B$2,8,1),0),MOVIMIENTOS!$D:$D,$B17)</f>
        <v/>
      </c>
      <c r="E17" s="8">
        <f>C17-D17</f>
        <v/>
      </c>
      <c r="F17" s="9">
        <f>IFERROR(D17/C17,"")</f>
        <v/>
      </c>
      <c r="S17" s="21">
        <f>IF(DAY(DATE(PORTADA!$B$2,8,13))&lt;&gt;13,"",13)</f>
        <v/>
      </c>
      <c r="T17" s="22">
        <f>IF(DAY(DATE(PORTADA!$B$2,8,13))&lt;&gt;13,"",SUMIFS(MOVIMIENTOS!$F:$F,MOVIMIENTOS!$A:$A,DATE(PORTADA!$B$2,8,13),MOVIMIENTOS!$C:$C,T$4))</f>
        <v/>
      </c>
      <c r="U17" s="22">
        <f>IF(DAY(DATE(PORTADA!$B$2,8,13))&lt;&gt;13,"",SUMIFS(MOVIMIENTOS!$F:$F,MOVIMIENTOS!$A:$A,DATE(PORTADA!$B$2,8,13),MOVIMIENTOS!$C:$C,U$4))</f>
        <v/>
      </c>
      <c r="V17" s="22">
        <f>IF(DAY(DATE(PORTADA!$B$2,8,13))&lt;&gt;13,"",SUMIFS(MOVIMIENTOS!$F:$F,MOVIMIENTOS!$A:$A,DATE(PORTADA!$B$2,8,13),MOVIMIENTOS!$C:$C,V$4))</f>
        <v/>
      </c>
      <c r="W17" s="22">
        <f>IF(DAY(DATE(PORTADA!$B$2,8,13))&lt;&gt;13,"",SUMIFS(MOVIMIENTOS!$F:$F,MOVIMIENTOS!$A:$A,DATE(PORTADA!$B$2,8,13),MOVIMIENTOS!$C:$C,W$4))</f>
        <v/>
      </c>
      <c r="X17" s="22">
        <f>IF(DAY(DATE(PORTADA!$B$2,8,13))&lt;&gt;13,"",SUMIFS(MOVIMIENTOS!$F:$F,MOVIMIENTOS!$A:$A,DATE(PORTADA!$B$2,8,13),MOVIMIENTOS!$C:$C,X$4))</f>
        <v/>
      </c>
      <c r="Y17" s="22">
        <f>IF(DAY(DATE(PORTADA!$B$2,8,13))&lt;&gt;13,"",SUMIFS(MOVIMIENTOS!$F:$F,MOVIMIENTOS!$A:$A,DATE(PORTADA!$B$2,8,13),MOVIMIENTOS!$C:$C,Y$4))</f>
        <v/>
      </c>
      <c r="Z17" s="22">
        <f>IF(DAY(DATE(PORTADA!$B$2,8,13))&lt;&gt;13,"",SUMIFS(MOVIMIENTOS!$F:$F,MOVIMIENTOS!$A:$A,DATE(PORTADA!$B$2,8,13),MOVIMIENTOS!$C:$C,Z$4))</f>
        <v/>
      </c>
      <c r="AA17" s="22">
        <f>IF(DAY(DATE(PORTADA!$B$2,8,13))&lt;&gt;13,"",SUM(T17:Z17))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SUMIFS(MOVIMIENTOS!$F:$F,MOVIMIENTOS!$A:$A,"&gt;="&amp;DATE(PORTADA!$B$2,8,1),MOVIMIENTOS!$A:$A,"&lt;="&amp;EOMONTH(DATE(PORTADA!$B$2,8,1),0),MOVIMIENTOS!$D:$D,$B18)</f>
        <v/>
      </c>
      <c r="E18" s="8">
        <f>C18-D18</f>
        <v/>
      </c>
      <c r="F18" s="9">
        <f>IFERROR(D18/C18,"")</f>
        <v/>
      </c>
      <c r="S18" s="21">
        <f>IF(DAY(DATE(PORTADA!$B$2,8,14))&lt;&gt;14,"",14)</f>
        <v/>
      </c>
      <c r="T18" s="22">
        <f>IF(DAY(DATE(PORTADA!$B$2,8,14))&lt;&gt;14,"",SUMIFS(MOVIMIENTOS!$F:$F,MOVIMIENTOS!$A:$A,DATE(PORTADA!$B$2,8,14),MOVIMIENTOS!$C:$C,T$4))</f>
        <v/>
      </c>
      <c r="U18" s="22">
        <f>IF(DAY(DATE(PORTADA!$B$2,8,14))&lt;&gt;14,"",SUMIFS(MOVIMIENTOS!$F:$F,MOVIMIENTOS!$A:$A,DATE(PORTADA!$B$2,8,14),MOVIMIENTOS!$C:$C,U$4))</f>
        <v/>
      </c>
      <c r="V18" s="22">
        <f>IF(DAY(DATE(PORTADA!$B$2,8,14))&lt;&gt;14,"",SUMIFS(MOVIMIENTOS!$F:$F,MOVIMIENTOS!$A:$A,DATE(PORTADA!$B$2,8,14),MOVIMIENTOS!$C:$C,V$4))</f>
        <v/>
      </c>
      <c r="W18" s="22">
        <f>IF(DAY(DATE(PORTADA!$B$2,8,14))&lt;&gt;14,"",SUMIFS(MOVIMIENTOS!$F:$F,MOVIMIENTOS!$A:$A,DATE(PORTADA!$B$2,8,14),MOVIMIENTOS!$C:$C,W$4))</f>
        <v/>
      </c>
      <c r="X18" s="22">
        <f>IF(DAY(DATE(PORTADA!$B$2,8,14))&lt;&gt;14,"",SUMIFS(MOVIMIENTOS!$F:$F,MOVIMIENTOS!$A:$A,DATE(PORTADA!$B$2,8,14),MOVIMIENTOS!$C:$C,X$4))</f>
        <v/>
      </c>
      <c r="Y18" s="22">
        <f>IF(DAY(DATE(PORTADA!$B$2,8,14))&lt;&gt;14,"",SUMIFS(MOVIMIENTOS!$F:$F,MOVIMIENTOS!$A:$A,DATE(PORTADA!$B$2,8,14),MOVIMIENTOS!$C:$C,Y$4))</f>
        <v/>
      </c>
      <c r="Z18" s="22">
        <f>IF(DAY(DATE(PORTADA!$B$2,8,14))&lt;&gt;14,"",SUMIFS(MOVIMIENTOS!$F:$F,MOVIMIENTOS!$A:$A,DATE(PORTADA!$B$2,8,14),MOVIMIENTOS!$C:$C,Z$4))</f>
        <v/>
      </c>
      <c r="AA18" s="22">
        <f>IF(DAY(DATE(PORTADA!$B$2,8,14))&lt;&gt;14,"",SUM(T18:Z18))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SUMIFS(MOVIMIENTOS!$F:$F,MOVIMIENTOS!$A:$A,"&gt;="&amp;DATE(PORTADA!$B$2,8,1),MOVIMIENTOS!$A:$A,"&lt;="&amp;EOMONTH(DATE(PORTADA!$B$2,8,1),0),MOVIMIENTOS!$D:$D,$B19)</f>
        <v/>
      </c>
      <c r="E19" s="8">
        <f>C19-D19</f>
        <v/>
      </c>
      <c r="F19" s="9">
        <f>IFERROR(D19/C19,"")</f>
        <v/>
      </c>
      <c r="S19" s="21">
        <f>IF(DAY(DATE(PORTADA!$B$2,8,15))&lt;&gt;15,"",15)</f>
        <v/>
      </c>
      <c r="T19" s="22">
        <f>IF(DAY(DATE(PORTADA!$B$2,8,15))&lt;&gt;15,"",SUMIFS(MOVIMIENTOS!$F:$F,MOVIMIENTOS!$A:$A,DATE(PORTADA!$B$2,8,15),MOVIMIENTOS!$C:$C,T$4))</f>
        <v/>
      </c>
      <c r="U19" s="22">
        <f>IF(DAY(DATE(PORTADA!$B$2,8,15))&lt;&gt;15,"",SUMIFS(MOVIMIENTOS!$F:$F,MOVIMIENTOS!$A:$A,DATE(PORTADA!$B$2,8,15),MOVIMIENTOS!$C:$C,U$4))</f>
        <v/>
      </c>
      <c r="V19" s="22">
        <f>IF(DAY(DATE(PORTADA!$B$2,8,15))&lt;&gt;15,"",SUMIFS(MOVIMIENTOS!$F:$F,MOVIMIENTOS!$A:$A,DATE(PORTADA!$B$2,8,15),MOVIMIENTOS!$C:$C,V$4))</f>
        <v/>
      </c>
      <c r="W19" s="22">
        <f>IF(DAY(DATE(PORTADA!$B$2,8,15))&lt;&gt;15,"",SUMIFS(MOVIMIENTOS!$F:$F,MOVIMIENTOS!$A:$A,DATE(PORTADA!$B$2,8,15),MOVIMIENTOS!$C:$C,W$4))</f>
        <v/>
      </c>
      <c r="X19" s="22">
        <f>IF(DAY(DATE(PORTADA!$B$2,8,15))&lt;&gt;15,"",SUMIFS(MOVIMIENTOS!$F:$F,MOVIMIENTOS!$A:$A,DATE(PORTADA!$B$2,8,15),MOVIMIENTOS!$C:$C,X$4))</f>
        <v/>
      </c>
      <c r="Y19" s="22">
        <f>IF(DAY(DATE(PORTADA!$B$2,8,15))&lt;&gt;15,"",SUMIFS(MOVIMIENTOS!$F:$F,MOVIMIENTOS!$A:$A,DATE(PORTADA!$B$2,8,15),MOVIMIENTOS!$C:$C,Y$4))</f>
        <v/>
      </c>
      <c r="Z19" s="22">
        <f>IF(DAY(DATE(PORTADA!$B$2,8,15))&lt;&gt;15,"",SUMIFS(MOVIMIENTOS!$F:$F,MOVIMIENTOS!$A:$A,DATE(PORTADA!$B$2,8,15),MOVIMIENTOS!$C:$C,Z$4))</f>
        <v/>
      </c>
      <c r="AA19" s="22">
        <f>IF(DAY(DATE(PORTADA!$B$2,8,15))&lt;&gt;15,"",SUM(T19:Z19))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SUMIFS(MOVIMIENTOS!$F:$F,MOVIMIENTOS!$A:$A,"&gt;="&amp;DATE(PORTADA!$B$2,8,1),MOVIMIENTOS!$A:$A,"&lt;="&amp;EOMONTH(DATE(PORTADA!$B$2,8,1),0),MOVIMIENTOS!$D:$D,$B20)</f>
        <v/>
      </c>
      <c r="E20" s="8">
        <f>C20-D20</f>
        <v/>
      </c>
      <c r="F20" s="9">
        <f>IFERROR(D20/C20,"")</f>
        <v/>
      </c>
      <c r="S20" s="21">
        <f>IF(DAY(DATE(PORTADA!$B$2,8,16))&lt;&gt;16,"",16)</f>
        <v/>
      </c>
      <c r="T20" s="22">
        <f>IF(DAY(DATE(PORTADA!$B$2,8,16))&lt;&gt;16,"",SUMIFS(MOVIMIENTOS!$F:$F,MOVIMIENTOS!$A:$A,DATE(PORTADA!$B$2,8,16),MOVIMIENTOS!$C:$C,T$4))</f>
        <v/>
      </c>
      <c r="U20" s="22">
        <f>IF(DAY(DATE(PORTADA!$B$2,8,16))&lt;&gt;16,"",SUMIFS(MOVIMIENTOS!$F:$F,MOVIMIENTOS!$A:$A,DATE(PORTADA!$B$2,8,16),MOVIMIENTOS!$C:$C,U$4))</f>
        <v/>
      </c>
      <c r="V20" s="22">
        <f>IF(DAY(DATE(PORTADA!$B$2,8,16))&lt;&gt;16,"",SUMIFS(MOVIMIENTOS!$F:$F,MOVIMIENTOS!$A:$A,DATE(PORTADA!$B$2,8,16),MOVIMIENTOS!$C:$C,V$4))</f>
        <v/>
      </c>
      <c r="W20" s="22">
        <f>IF(DAY(DATE(PORTADA!$B$2,8,16))&lt;&gt;16,"",SUMIFS(MOVIMIENTOS!$F:$F,MOVIMIENTOS!$A:$A,DATE(PORTADA!$B$2,8,16),MOVIMIENTOS!$C:$C,W$4))</f>
        <v/>
      </c>
      <c r="X20" s="22">
        <f>IF(DAY(DATE(PORTADA!$B$2,8,16))&lt;&gt;16,"",SUMIFS(MOVIMIENTOS!$F:$F,MOVIMIENTOS!$A:$A,DATE(PORTADA!$B$2,8,16),MOVIMIENTOS!$C:$C,X$4))</f>
        <v/>
      </c>
      <c r="Y20" s="22">
        <f>IF(DAY(DATE(PORTADA!$B$2,8,16))&lt;&gt;16,"",SUMIFS(MOVIMIENTOS!$F:$F,MOVIMIENTOS!$A:$A,DATE(PORTADA!$B$2,8,16),MOVIMIENTOS!$C:$C,Y$4))</f>
        <v/>
      </c>
      <c r="Z20" s="22">
        <f>IF(DAY(DATE(PORTADA!$B$2,8,16))&lt;&gt;16,"",SUMIFS(MOVIMIENTOS!$F:$F,MOVIMIENTOS!$A:$A,DATE(PORTADA!$B$2,8,16),MOVIMIENTOS!$C:$C,Z$4))</f>
        <v/>
      </c>
      <c r="AA20" s="22">
        <f>IF(DAY(DATE(PORTADA!$B$2,8,16))&lt;&gt;16,"",SUM(T20:Z20))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SUMIFS(MOVIMIENTOS!$F:$F,MOVIMIENTOS!$A:$A,"&gt;="&amp;DATE(PORTADA!$B$2,8,1),MOVIMIENTOS!$A:$A,"&lt;="&amp;EOMONTH(DATE(PORTADA!$B$2,8,1),0),MOVIMIENTOS!$D:$D,$B21)</f>
        <v/>
      </c>
      <c r="E21" s="8">
        <f>C21-D21</f>
        <v/>
      </c>
      <c r="F21" s="9">
        <f>IFERROR(D21/C21,"")</f>
        <v/>
      </c>
      <c r="S21" s="21">
        <f>IF(DAY(DATE(PORTADA!$B$2,8,17))&lt;&gt;17,"",17)</f>
        <v/>
      </c>
      <c r="T21" s="22">
        <f>IF(DAY(DATE(PORTADA!$B$2,8,17))&lt;&gt;17,"",SUMIFS(MOVIMIENTOS!$F:$F,MOVIMIENTOS!$A:$A,DATE(PORTADA!$B$2,8,17),MOVIMIENTOS!$C:$C,T$4))</f>
        <v/>
      </c>
      <c r="U21" s="22">
        <f>IF(DAY(DATE(PORTADA!$B$2,8,17))&lt;&gt;17,"",SUMIFS(MOVIMIENTOS!$F:$F,MOVIMIENTOS!$A:$A,DATE(PORTADA!$B$2,8,17),MOVIMIENTOS!$C:$C,U$4))</f>
        <v/>
      </c>
      <c r="V21" s="22">
        <f>IF(DAY(DATE(PORTADA!$B$2,8,17))&lt;&gt;17,"",SUMIFS(MOVIMIENTOS!$F:$F,MOVIMIENTOS!$A:$A,DATE(PORTADA!$B$2,8,17),MOVIMIENTOS!$C:$C,V$4))</f>
        <v/>
      </c>
      <c r="W21" s="22">
        <f>IF(DAY(DATE(PORTADA!$B$2,8,17))&lt;&gt;17,"",SUMIFS(MOVIMIENTOS!$F:$F,MOVIMIENTOS!$A:$A,DATE(PORTADA!$B$2,8,17),MOVIMIENTOS!$C:$C,W$4))</f>
        <v/>
      </c>
      <c r="X21" s="22">
        <f>IF(DAY(DATE(PORTADA!$B$2,8,17))&lt;&gt;17,"",SUMIFS(MOVIMIENTOS!$F:$F,MOVIMIENTOS!$A:$A,DATE(PORTADA!$B$2,8,17),MOVIMIENTOS!$C:$C,X$4))</f>
        <v/>
      </c>
      <c r="Y21" s="22">
        <f>IF(DAY(DATE(PORTADA!$B$2,8,17))&lt;&gt;17,"",SUMIFS(MOVIMIENTOS!$F:$F,MOVIMIENTOS!$A:$A,DATE(PORTADA!$B$2,8,17),MOVIMIENTOS!$C:$C,Y$4))</f>
        <v/>
      </c>
      <c r="Z21" s="22">
        <f>IF(DAY(DATE(PORTADA!$B$2,8,17))&lt;&gt;17,"",SUMIFS(MOVIMIENTOS!$F:$F,MOVIMIENTOS!$A:$A,DATE(PORTADA!$B$2,8,17),MOVIMIENTOS!$C:$C,Z$4))</f>
        <v/>
      </c>
      <c r="AA21" s="22">
        <f>IF(DAY(DATE(PORTADA!$B$2,8,17))&lt;&gt;17,"",SUM(T21:Z21))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SUMIFS(MOVIMIENTOS!$F:$F,MOVIMIENTOS!$A:$A,"&gt;="&amp;DATE(PORTADA!$B$2,8,1),MOVIMIENTOS!$A:$A,"&lt;="&amp;EOMONTH(DATE(PORTADA!$B$2,8,1),0),MOVIMIENTOS!$D:$D,$B22)</f>
        <v/>
      </c>
      <c r="E22" s="8">
        <f>C22-D22</f>
        <v/>
      </c>
      <c r="F22" s="9">
        <f>IFERROR(D22/C22,"")</f>
        <v/>
      </c>
      <c r="S22" s="21">
        <f>IF(DAY(DATE(PORTADA!$B$2,8,18))&lt;&gt;18,"",18)</f>
        <v/>
      </c>
      <c r="T22" s="22">
        <f>IF(DAY(DATE(PORTADA!$B$2,8,18))&lt;&gt;18,"",SUMIFS(MOVIMIENTOS!$F:$F,MOVIMIENTOS!$A:$A,DATE(PORTADA!$B$2,8,18),MOVIMIENTOS!$C:$C,T$4))</f>
        <v/>
      </c>
      <c r="U22" s="22">
        <f>IF(DAY(DATE(PORTADA!$B$2,8,18))&lt;&gt;18,"",SUMIFS(MOVIMIENTOS!$F:$F,MOVIMIENTOS!$A:$A,DATE(PORTADA!$B$2,8,18),MOVIMIENTOS!$C:$C,U$4))</f>
        <v/>
      </c>
      <c r="V22" s="22">
        <f>IF(DAY(DATE(PORTADA!$B$2,8,18))&lt;&gt;18,"",SUMIFS(MOVIMIENTOS!$F:$F,MOVIMIENTOS!$A:$A,DATE(PORTADA!$B$2,8,18),MOVIMIENTOS!$C:$C,V$4))</f>
        <v/>
      </c>
      <c r="W22" s="22">
        <f>IF(DAY(DATE(PORTADA!$B$2,8,18))&lt;&gt;18,"",SUMIFS(MOVIMIENTOS!$F:$F,MOVIMIENTOS!$A:$A,DATE(PORTADA!$B$2,8,18),MOVIMIENTOS!$C:$C,W$4))</f>
        <v/>
      </c>
      <c r="X22" s="22">
        <f>IF(DAY(DATE(PORTADA!$B$2,8,18))&lt;&gt;18,"",SUMIFS(MOVIMIENTOS!$F:$F,MOVIMIENTOS!$A:$A,DATE(PORTADA!$B$2,8,18),MOVIMIENTOS!$C:$C,X$4))</f>
        <v/>
      </c>
      <c r="Y22" s="22">
        <f>IF(DAY(DATE(PORTADA!$B$2,8,18))&lt;&gt;18,"",SUMIFS(MOVIMIENTOS!$F:$F,MOVIMIENTOS!$A:$A,DATE(PORTADA!$B$2,8,18),MOVIMIENTOS!$C:$C,Y$4))</f>
        <v/>
      </c>
      <c r="Z22" s="22">
        <f>IF(DAY(DATE(PORTADA!$B$2,8,18))&lt;&gt;18,"",SUMIFS(MOVIMIENTOS!$F:$F,MOVIMIENTOS!$A:$A,DATE(PORTADA!$B$2,8,18),MOVIMIENTOS!$C:$C,Z$4))</f>
        <v/>
      </c>
      <c r="AA22" s="22">
        <f>IF(DAY(DATE(PORTADA!$B$2,8,18))&lt;&gt;18,"",SUM(T22:Z22))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SUMIFS(MOVIMIENTOS!$F:$F,MOVIMIENTOS!$A:$A,"&gt;="&amp;DATE(PORTADA!$B$2,8,1),MOVIMIENTOS!$A:$A,"&lt;="&amp;EOMONTH(DATE(PORTADA!$B$2,8,1),0),MOVIMIENTOS!$D:$D,$B23)</f>
        <v/>
      </c>
      <c r="E23" s="8">
        <f>C23-D23</f>
        <v/>
      </c>
      <c r="F23" s="9">
        <f>IFERROR(D23/C23,"")</f>
        <v/>
      </c>
      <c r="S23" s="21">
        <f>IF(DAY(DATE(PORTADA!$B$2,8,19))&lt;&gt;19,"",19)</f>
        <v/>
      </c>
      <c r="T23" s="22">
        <f>IF(DAY(DATE(PORTADA!$B$2,8,19))&lt;&gt;19,"",SUMIFS(MOVIMIENTOS!$F:$F,MOVIMIENTOS!$A:$A,DATE(PORTADA!$B$2,8,19),MOVIMIENTOS!$C:$C,T$4))</f>
        <v/>
      </c>
      <c r="U23" s="22">
        <f>IF(DAY(DATE(PORTADA!$B$2,8,19))&lt;&gt;19,"",SUMIFS(MOVIMIENTOS!$F:$F,MOVIMIENTOS!$A:$A,DATE(PORTADA!$B$2,8,19),MOVIMIENTOS!$C:$C,U$4))</f>
        <v/>
      </c>
      <c r="V23" s="22">
        <f>IF(DAY(DATE(PORTADA!$B$2,8,19))&lt;&gt;19,"",SUMIFS(MOVIMIENTOS!$F:$F,MOVIMIENTOS!$A:$A,DATE(PORTADA!$B$2,8,19),MOVIMIENTOS!$C:$C,V$4))</f>
        <v/>
      </c>
      <c r="W23" s="22">
        <f>IF(DAY(DATE(PORTADA!$B$2,8,19))&lt;&gt;19,"",SUMIFS(MOVIMIENTOS!$F:$F,MOVIMIENTOS!$A:$A,DATE(PORTADA!$B$2,8,19),MOVIMIENTOS!$C:$C,W$4))</f>
        <v/>
      </c>
      <c r="X23" s="22">
        <f>IF(DAY(DATE(PORTADA!$B$2,8,19))&lt;&gt;19,"",SUMIFS(MOVIMIENTOS!$F:$F,MOVIMIENTOS!$A:$A,DATE(PORTADA!$B$2,8,19),MOVIMIENTOS!$C:$C,X$4))</f>
        <v/>
      </c>
      <c r="Y23" s="22">
        <f>IF(DAY(DATE(PORTADA!$B$2,8,19))&lt;&gt;19,"",SUMIFS(MOVIMIENTOS!$F:$F,MOVIMIENTOS!$A:$A,DATE(PORTADA!$B$2,8,19),MOVIMIENTOS!$C:$C,Y$4))</f>
        <v/>
      </c>
      <c r="Z23" s="22">
        <f>IF(DAY(DATE(PORTADA!$B$2,8,19))&lt;&gt;19,"",SUMIFS(MOVIMIENTOS!$F:$F,MOVIMIENTOS!$A:$A,DATE(PORTADA!$B$2,8,19),MOVIMIENTOS!$C:$C,Z$4))</f>
        <v/>
      </c>
      <c r="AA23" s="22">
        <f>IF(DAY(DATE(PORTADA!$B$2,8,19))&lt;&gt;19,"",SUM(T23:Z23))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SUMIFS(MOVIMIENTOS!$F:$F,MOVIMIENTOS!$A:$A,"&gt;="&amp;DATE(PORTADA!$B$2,8,1),MOVIMIENTOS!$A:$A,"&lt;="&amp;EOMONTH(DATE(PORTADA!$B$2,8,1),0),MOVIMIENTOS!$D:$D,$B24)</f>
        <v/>
      </c>
      <c r="E24" s="8">
        <f>C24-D24</f>
        <v/>
      </c>
      <c r="F24" s="9">
        <f>IFERROR(D24/C24,"")</f>
        <v/>
      </c>
      <c r="S24" s="21">
        <f>IF(DAY(DATE(PORTADA!$B$2,8,20))&lt;&gt;20,"",20)</f>
        <v/>
      </c>
      <c r="T24" s="22">
        <f>IF(DAY(DATE(PORTADA!$B$2,8,20))&lt;&gt;20,"",SUMIFS(MOVIMIENTOS!$F:$F,MOVIMIENTOS!$A:$A,DATE(PORTADA!$B$2,8,20),MOVIMIENTOS!$C:$C,T$4))</f>
        <v/>
      </c>
      <c r="U24" s="22">
        <f>IF(DAY(DATE(PORTADA!$B$2,8,20))&lt;&gt;20,"",SUMIFS(MOVIMIENTOS!$F:$F,MOVIMIENTOS!$A:$A,DATE(PORTADA!$B$2,8,20),MOVIMIENTOS!$C:$C,U$4))</f>
        <v/>
      </c>
      <c r="V24" s="22">
        <f>IF(DAY(DATE(PORTADA!$B$2,8,20))&lt;&gt;20,"",SUMIFS(MOVIMIENTOS!$F:$F,MOVIMIENTOS!$A:$A,DATE(PORTADA!$B$2,8,20),MOVIMIENTOS!$C:$C,V$4))</f>
        <v/>
      </c>
      <c r="W24" s="22">
        <f>IF(DAY(DATE(PORTADA!$B$2,8,20))&lt;&gt;20,"",SUMIFS(MOVIMIENTOS!$F:$F,MOVIMIENTOS!$A:$A,DATE(PORTADA!$B$2,8,20),MOVIMIENTOS!$C:$C,W$4))</f>
        <v/>
      </c>
      <c r="X24" s="22">
        <f>IF(DAY(DATE(PORTADA!$B$2,8,20))&lt;&gt;20,"",SUMIFS(MOVIMIENTOS!$F:$F,MOVIMIENTOS!$A:$A,DATE(PORTADA!$B$2,8,20),MOVIMIENTOS!$C:$C,X$4))</f>
        <v/>
      </c>
      <c r="Y24" s="22">
        <f>IF(DAY(DATE(PORTADA!$B$2,8,20))&lt;&gt;20,"",SUMIFS(MOVIMIENTOS!$F:$F,MOVIMIENTOS!$A:$A,DATE(PORTADA!$B$2,8,20),MOVIMIENTOS!$C:$C,Y$4))</f>
        <v/>
      </c>
      <c r="Z24" s="22">
        <f>IF(DAY(DATE(PORTADA!$B$2,8,20))&lt;&gt;20,"",SUMIFS(MOVIMIENTOS!$F:$F,MOVIMIENTOS!$A:$A,DATE(PORTADA!$B$2,8,20),MOVIMIENTOS!$C:$C,Z$4))</f>
        <v/>
      </c>
      <c r="AA24" s="22">
        <f>IF(DAY(DATE(PORTADA!$B$2,8,20))&lt;&gt;20,"",SUM(T24:Z24))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SUMIFS(MOVIMIENTOS!$F:$F,MOVIMIENTOS!$A:$A,"&gt;="&amp;DATE(PORTADA!$B$2,8,1),MOVIMIENTOS!$A:$A,"&lt;="&amp;EOMONTH(DATE(PORTADA!$B$2,8,1),0),MOVIMIENTOS!$D:$D,$B25)</f>
        <v/>
      </c>
      <c r="E25" s="8">
        <f>C25-D25</f>
        <v/>
      </c>
      <c r="F25" s="9">
        <f>IFERROR(D25/C25,"")</f>
        <v/>
      </c>
      <c r="S25" s="21">
        <f>IF(DAY(DATE(PORTADA!$B$2,8,21))&lt;&gt;21,"",21)</f>
        <v/>
      </c>
      <c r="T25" s="22">
        <f>IF(DAY(DATE(PORTADA!$B$2,8,21))&lt;&gt;21,"",SUMIFS(MOVIMIENTOS!$F:$F,MOVIMIENTOS!$A:$A,DATE(PORTADA!$B$2,8,21),MOVIMIENTOS!$C:$C,T$4))</f>
        <v/>
      </c>
      <c r="U25" s="22">
        <f>IF(DAY(DATE(PORTADA!$B$2,8,21))&lt;&gt;21,"",SUMIFS(MOVIMIENTOS!$F:$F,MOVIMIENTOS!$A:$A,DATE(PORTADA!$B$2,8,21),MOVIMIENTOS!$C:$C,U$4))</f>
        <v/>
      </c>
      <c r="V25" s="22">
        <f>IF(DAY(DATE(PORTADA!$B$2,8,21))&lt;&gt;21,"",SUMIFS(MOVIMIENTOS!$F:$F,MOVIMIENTOS!$A:$A,DATE(PORTADA!$B$2,8,21),MOVIMIENTOS!$C:$C,V$4))</f>
        <v/>
      </c>
      <c r="W25" s="22">
        <f>IF(DAY(DATE(PORTADA!$B$2,8,21))&lt;&gt;21,"",SUMIFS(MOVIMIENTOS!$F:$F,MOVIMIENTOS!$A:$A,DATE(PORTADA!$B$2,8,21),MOVIMIENTOS!$C:$C,W$4))</f>
        <v/>
      </c>
      <c r="X25" s="22">
        <f>IF(DAY(DATE(PORTADA!$B$2,8,21))&lt;&gt;21,"",SUMIFS(MOVIMIENTOS!$F:$F,MOVIMIENTOS!$A:$A,DATE(PORTADA!$B$2,8,21),MOVIMIENTOS!$C:$C,X$4))</f>
        <v/>
      </c>
      <c r="Y25" s="22">
        <f>IF(DAY(DATE(PORTADA!$B$2,8,21))&lt;&gt;21,"",SUMIFS(MOVIMIENTOS!$F:$F,MOVIMIENTOS!$A:$A,DATE(PORTADA!$B$2,8,21),MOVIMIENTOS!$C:$C,Y$4))</f>
        <v/>
      </c>
      <c r="Z25" s="22">
        <f>IF(DAY(DATE(PORTADA!$B$2,8,21))&lt;&gt;21,"",SUMIFS(MOVIMIENTOS!$F:$F,MOVIMIENTOS!$A:$A,DATE(PORTADA!$B$2,8,21),MOVIMIENTOS!$C:$C,Z$4))</f>
        <v/>
      </c>
      <c r="AA25" s="22">
        <f>IF(DAY(DATE(PORTADA!$B$2,8,21))&lt;&gt;21,"",SUM(T25:Z25))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SUMIFS(MOVIMIENTOS!$F:$F,MOVIMIENTOS!$A:$A,"&gt;="&amp;DATE(PORTADA!$B$2,8,1),MOVIMIENTOS!$A:$A,"&lt;="&amp;EOMONTH(DATE(PORTADA!$B$2,8,1),0),MOVIMIENTOS!$D:$D,$B26)</f>
        <v/>
      </c>
      <c r="E26" s="8">
        <f>C26-D26</f>
        <v/>
      </c>
      <c r="F26" s="9">
        <f>IFERROR(D26/C26,"")</f>
        <v/>
      </c>
      <c r="S26" s="21">
        <f>IF(DAY(DATE(PORTADA!$B$2,8,22))&lt;&gt;22,"",22)</f>
        <v/>
      </c>
      <c r="T26" s="22">
        <f>IF(DAY(DATE(PORTADA!$B$2,8,22))&lt;&gt;22,"",SUMIFS(MOVIMIENTOS!$F:$F,MOVIMIENTOS!$A:$A,DATE(PORTADA!$B$2,8,22),MOVIMIENTOS!$C:$C,T$4))</f>
        <v/>
      </c>
      <c r="U26" s="22">
        <f>IF(DAY(DATE(PORTADA!$B$2,8,22))&lt;&gt;22,"",SUMIFS(MOVIMIENTOS!$F:$F,MOVIMIENTOS!$A:$A,DATE(PORTADA!$B$2,8,22),MOVIMIENTOS!$C:$C,U$4))</f>
        <v/>
      </c>
      <c r="V26" s="22">
        <f>IF(DAY(DATE(PORTADA!$B$2,8,22))&lt;&gt;22,"",SUMIFS(MOVIMIENTOS!$F:$F,MOVIMIENTOS!$A:$A,DATE(PORTADA!$B$2,8,22),MOVIMIENTOS!$C:$C,V$4))</f>
        <v/>
      </c>
      <c r="W26" s="22">
        <f>IF(DAY(DATE(PORTADA!$B$2,8,22))&lt;&gt;22,"",SUMIFS(MOVIMIENTOS!$F:$F,MOVIMIENTOS!$A:$A,DATE(PORTADA!$B$2,8,22),MOVIMIENTOS!$C:$C,W$4))</f>
        <v/>
      </c>
      <c r="X26" s="22">
        <f>IF(DAY(DATE(PORTADA!$B$2,8,22))&lt;&gt;22,"",SUMIFS(MOVIMIENTOS!$F:$F,MOVIMIENTOS!$A:$A,DATE(PORTADA!$B$2,8,22),MOVIMIENTOS!$C:$C,X$4))</f>
        <v/>
      </c>
      <c r="Y26" s="22">
        <f>IF(DAY(DATE(PORTADA!$B$2,8,22))&lt;&gt;22,"",SUMIFS(MOVIMIENTOS!$F:$F,MOVIMIENTOS!$A:$A,DATE(PORTADA!$B$2,8,22),MOVIMIENTOS!$C:$C,Y$4))</f>
        <v/>
      </c>
      <c r="Z26" s="22">
        <f>IF(DAY(DATE(PORTADA!$B$2,8,22))&lt;&gt;22,"",SUMIFS(MOVIMIENTOS!$F:$F,MOVIMIENTOS!$A:$A,DATE(PORTADA!$B$2,8,22),MOVIMIENTOS!$C:$C,Z$4))</f>
        <v/>
      </c>
      <c r="AA26" s="22">
        <f>IF(DAY(DATE(PORTADA!$B$2,8,22))&lt;&gt;22,"",SUM(T26:Z26))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SUMIFS(MOVIMIENTOS!$F:$F,MOVIMIENTOS!$A:$A,"&gt;="&amp;DATE(PORTADA!$B$2,8,1),MOVIMIENTOS!$A:$A,"&lt;="&amp;EOMONTH(DATE(PORTADA!$B$2,8,1),0),MOVIMIENTOS!$D:$D,$B27)</f>
        <v/>
      </c>
      <c r="E27" s="8">
        <f>C27-D27</f>
        <v/>
      </c>
      <c r="F27" s="9">
        <f>IFERROR(D27/C27,"")</f>
        <v/>
      </c>
      <c r="S27" s="21">
        <f>IF(DAY(DATE(PORTADA!$B$2,8,23))&lt;&gt;23,"",23)</f>
        <v/>
      </c>
      <c r="T27" s="22">
        <f>IF(DAY(DATE(PORTADA!$B$2,8,23))&lt;&gt;23,"",SUMIFS(MOVIMIENTOS!$F:$F,MOVIMIENTOS!$A:$A,DATE(PORTADA!$B$2,8,23),MOVIMIENTOS!$C:$C,T$4))</f>
        <v/>
      </c>
      <c r="U27" s="22">
        <f>IF(DAY(DATE(PORTADA!$B$2,8,23))&lt;&gt;23,"",SUMIFS(MOVIMIENTOS!$F:$F,MOVIMIENTOS!$A:$A,DATE(PORTADA!$B$2,8,23),MOVIMIENTOS!$C:$C,U$4))</f>
        <v/>
      </c>
      <c r="V27" s="22">
        <f>IF(DAY(DATE(PORTADA!$B$2,8,23))&lt;&gt;23,"",SUMIFS(MOVIMIENTOS!$F:$F,MOVIMIENTOS!$A:$A,DATE(PORTADA!$B$2,8,23),MOVIMIENTOS!$C:$C,V$4))</f>
        <v/>
      </c>
      <c r="W27" s="22">
        <f>IF(DAY(DATE(PORTADA!$B$2,8,23))&lt;&gt;23,"",SUMIFS(MOVIMIENTOS!$F:$F,MOVIMIENTOS!$A:$A,DATE(PORTADA!$B$2,8,23),MOVIMIENTOS!$C:$C,W$4))</f>
        <v/>
      </c>
      <c r="X27" s="22">
        <f>IF(DAY(DATE(PORTADA!$B$2,8,23))&lt;&gt;23,"",SUMIFS(MOVIMIENTOS!$F:$F,MOVIMIENTOS!$A:$A,DATE(PORTADA!$B$2,8,23),MOVIMIENTOS!$C:$C,X$4))</f>
        <v/>
      </c>
      <c r="Y27" s="22">
        <f>IF(DAY(DATE(PORTADA!$B$2,8,23))&lt;&gt;23,"",SUMIFS(MOVIMIENTOS!$F:$F,MOVIMIENTOS!$A:$A,DATE(PORTADA!$B$2,8,23),MOVIMIENTOS!$C:$C,Y$4))</f>
        <v/>
      </c>
      <c r="Z27" s="22">
        <f>IF(DAY(DATE(PORTADA!$B$2,8,23))&lt;&gt;23,"",SUMIFS(MOVIMIENTOS!$F:$F,MOVIMIENTOS!$A:$A,DATE(PORTADA!$B$2,8,23),MOVIMIENTOS!$C:$C,Z$4))</f>
        <v/>
      </c>
      <c r="AA27" s="22">
        <f>IF(DAY(DATE(PORTADA!$B$2,8,23))&lt;&gt;23,"",SUM(T27:Z27))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SUMIFS(MOVIMIENTOS!$F:$F,MOVIMIENTOS!$A:$A,"&gt;="&amp;DATE(PORTADA!$B$2,8,1),MOVIMIENTOS!$A:$A,"&lt;="&amp;EOMONTH(DATE(PORTADA!$B$2,8,1),0),MOVIMIENTOS!$D:$D,$B28)</f>
        <v/>
      </c>
      <c r="E28" s="8">
        <f>C28-D28</f>
        <v/>
      </c>
      <c r="F28" s="9">
        <f>IFERROR(D28/C28,"")</f>
        <v/>
      </c>
      <c r="S28" s="21">
        <f>IF(DAY(DATE(PORTADA!$B$2,8,24))&lt;&gt;24,"",24)</f>
        <v/>
      </c>
      <c r="T28" s="22">
        <f>IF(DAY(DATE(PORTADA!$B$2,8,24))&lt;&gt;24,"",SUMIFS(MOVIMIENTOS!$F:$F,MOVIMIENTOS!$A:$A,DATE(PORTADA!$B$2,8,24),MOVIMIENTOS!$C:$C,T$4))</f>
        <v/>
      </c>
      <c r="U28" s="22">
        <f>IF(DAY(DATE(PORTADA!$B$2,8,24))&lt;&gt;24,"",SUMIFS(MOVIMIENTOS!$F:$F,MOVIMIENTOS!$A:$A,DATE(PORTADA!$B$2,8,24),MOVIMIENTOS!$C:$C,U$4))</f>
        <v/>
      </c>
      <c r="V28" s="22">
        <f>IF(DAY(DATE(PORTADA!$B$2,8,24))&lt;&gt;24,"",SUMIFS(MOVIMIENTOS!$F:$F,MOVIMIENTOS!$A:$A,DATE(PORTADA!$B$2,8,24),MOVIMIENTOS!$C:$C,V$4))</f>
        <v/>
      </c>
      <c r="W28" s="22">
        <f>IF(DAY(DATE(PORTADA!$B$2,8,24))&lt;&gt;24,"",SUMIFS(MOVIMIENTOS!$F:$F,MOVIMIENTOS!$A:$A,DATE(PORTADA!$B$2,8,24),MOVIMIENTOS!$C:$C,W$4))</f>
        <v/>
      </c>
      <c r="X28" s="22">
        <f>IF(DAY(DATE(PORTADA!$B$2,8,24))&lt;&gt;24,"",SUMIFS(MOVIMIENTOS!$F:$F,MOVIMIENTOS!$A:$A,DATE(PORTADA!$B$2,8,24),MOVIMIENTOS!$C:$C,X$4))</f>
        <v/>
      </c>
      <c r="Y28" s="22">
        <f>IF(DAY(DATE(PORTADA!$B$2,8,24))&lt;&gt;24,"",SUMIFS(MOVIMIENTOS!$F:$F,MOVIMIENTOS!$A:$A,DATE(PORTADA!$B$2,8,24),MOVIMIENTOS!$C:$C,Y$4))</f>
        <v/>
      </c>
      <c r="Z28" s="22">
        <f>IF(DAY(DATE(PORTADA!$B$2,8,24))&lt;&gt;24,"",SUMIFS(MOVIMIENTOS!$F:$F,MOVIMIENTOS!$A:$A,DATE(PORTADA!$B$2,8,24),MOVIMIENTOS!$C:$C,Z$4))</f>
        <v/>
      </c>
      <c r="AA28" s="22">
        <f>IF(DAY(DATE(PORTADA!$B$2,8,24))&lt;&gt;24,"",SUM(T28:Z28))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SUMIFS(MOVIMIENTOS!$F:$F,MOVIMIENTOS!$A:$A,"&gt;="&amp;DATE(PORTADA!$B$2,8,1),MOVIMIENTOS!$A:$A,"&lt;="&amp;EOMONTH(DATE(PORTADA!$B$2,8,1),0),MOVIMIENTOS!$D:$D,$B29)</f>
        <v/>
      </c>
      <c r="E29" s="8">
        <f>C29-D29</f>
        <v/>
      </c>
      <c r="F29" s="9">
        <f>IFERROR(D29/C29,"")</f>
        <v/>
      </c>
      <c r="S29" s="21">
        <f>IF(DAY(DATE(PORTADA!$B$2,8,25))&lt;&gt;25,"",25)</f>
        <v/>
      </c>
      <c r="T29" s="22">
        <f>IF(DAY(DATE(PORTADA!$B$2,8,25))&lt;&gt;25,"",SUMIFS(MOVIMIENTOS!$F:$F,MOVIMIENTOS!$A:$A,DATE(PORTADA!$B$2,8,25),MOVIMIENTOS!$C:$C,T$4))</f>
        <v/>
      </c>
      <c r="U29" s="22">
        <f>IF(DAY(DATE(PORTADA!$B$2,8,25))&lt;&gt;25,"",SUMIFS(MOVIMIENTOS!$F:$F,MOVIMIENTOS!$A:$A,DATE(PORTADA!$B$2,8,25),MOVIMIENTOS!$C:$C,U$4))</f>
        <v/>
      </c>
      <c r="V29" s="22">
        <f>IF(DAY(DATE(PORTADA!$B$2,8,25))&lt;&gt;25,"",SUMIFS(MOVIMIENTOS!$F:$F,MOVIMIENTOS!$A:$A,DATE(PORTADA!$B$2,8,25),MOVIMIENTOS!$C:$C,V$4))</f>
        <v/>
      </c>
      <c r="W29" s="22">
        <f>IF(DAY(DATE(PORTADA!$B$2,8,25))&lt;&gt;25,"",SUMIFS(MOVIMIENTOS!$F:$F,MOVIMIENTOS!$A:$A,DATE(PORTADA!$B$2,8,25),MOVIMIENTOS!$C:$C,W$4))</f>
        <v/>
      </c>
      <c r="X29" s="22">
        <f>IF(DAY(DATE(PORTADA!$B$2,8,25))&lt;&gt;25,"",SUMIFS(MOVIMIENTOS!$F:$F,MOVIMIENTOS!$A:$A,DATE(PORTADA!$B$2,8,25),MOVIMIENTOS!$C:$C,X$4))</f>
        <v/>
      </c>
      <c r="Y29" s="22">
        <f>IF(DAY(DATE(PORTADA!$B$2,8,25))&lt;&gt;25,"",SUMIFS(MOVIMIENTOS!$F:$F,MOVIMIENTOS!$A:$A,DATE(PORTADA!$B$2,8,25),MOVIMIENTOS!$C:$C,Y$4))</f>
        <v/>
      </c>
      <c r="Z29" s="22">
        <f>IF(DAY(DATE(PORTADA!$B$2,8,25))&lt;&gt;25,"",SUMIFS(MOVIMIENTOS!$F:$F,MOVIMIENTOS!$A:$A,DATE(PORTADA!$B$2,8,25),MOVIMIENTOS!$C:$C,Z$4))</f>
        <v/>
      </c>
      <c r="AA29" s="22">
        <f>IF(DAY(DATE(PORTADA!$B$2,8,25))&lt;&gt;25,"",SUM(T29:Z29))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SUMIFS(MOVIMIENTOS!$F:$F,MOVIMIENTOS!$A:$A,"&gt;="&amp;DATE(PORTADA!$B$2,8,1),MOVIMIENTOS!$A:$A,"&lt;="&amp;EOMONTH(DATE(PORTADA!$B$2,8,1),0),MOVIMIENTOS!$D:$D,$B30)</f>
        <v/>
      </c>
      <c r="E30" s="8">
        <f>C30-D30</f>
        <v/>
      </c>
      <c r="F30" s="9">
        <f>IFERROR(D30/C30,"")</f>
        <v/>
      </c>
      <c r="S30" s="21">
        <f>IF(DAY(DATE(PORTADA!$B$2,8,26))&lt;&gt;26,"",26)</f>
        <v/>
      </c>
      <c r="T30" s="22">
        <f>IF(DAY(DATE(PORTADA!$B$2,8,26))&lt;&gt;26,"",SUMIFS(MOVIMIENTOS!$F:$F,MOVIMIENTOS!$A:$A,DATE(PORTADA!$B$2,8,26),MOVIMIENTOS!$C:$C,T$4))</f>
        <v/>
      </c>
      <c r="U30" s="22">
        <f>IF(DAY(DATE(PORTADA!$B$2,8,26))&lt;&gt;26,"",SUMIFS(MOVIMIENTOS!$F:$F,MOVIMIENTOS!$A:$A,DATE(PORTADA!$B$2,8,26),MOVIMIENTOS!$C:$C,U$4))</f>
        <v/>
      </c>
      <c r="V30" s="22">
        <f>IF(DAY(DATE(PORTADA!$B$2,8,26))&lt;&gt;26,"",SUMIFS(MOVIMIENTOS!$F:$F,MOVIMIENTOS!$A:$A,DATE(PORTADA!$B$2,8,26),MOVIMIENTOS!$C:$C,V$4))</f>
        <v/>
      </c>
      <c r="W30" s="22">
        <f>IF(DAY(DATE(PORTADA!$B$2,8,26))&lt;&gt;26,"",SUMIFS(MOVIMIENTOS!$F:$F,MOVIMIENTOS!$A:$A,DATE(PORTADA!$B$2,8,26),MOVIMIENTOS!$C:$C,W$4))</f>
        <v/>
      </c>
      <c r="X30" s="22">
        <f>IF(DAY(DATE(PORTADA!$B$2,8,26))&lt;&gt;26,"",SUMIFS(MOVIMIENTOS!$F:$F,MOVIMIENTOS!$A:$A,DATE(PORTADA!$B$2,8,26),MOVIMIENTOS!$C:$C,X$4))</f>
        <v/>
      </c>
      <c r="Y30" s="22">
        <f>IF(DAY(DATE(PORTADA!$B$2,8,26))&lt;&gt;26,"",SUMIFS(MOVIMIENTOS!$F:$F,MOVIMIENTOS!$A:$A,DATE(PORTADA!$B$2,8,26),MOVIMIENTOS!$C:$C,Y$4))</f>
        <v/>
      </c>
      <c r="Z30" s="22">
        <f>IF(DAY(DATE(PORTADA!$B$2,8,26))&lt;&gt;26,"",SUMIFS(MOVIMIENTOS!$F:$F,MOVIMIENTOS!$A:$A,DATE(PORTADA!$B$2,8,26),MOVIMIENTOS!$C:$C,Z$4))</f>
        <v/>
      </c>
      <c r="AA30" s="22">
        <f>IF(DAY(DATE(PORTADA!$B$2,8,26))&lt;&gt;26,"",SUM(T30:Z30))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SUMIFS(MOVIMIENTOS!$F:$F,MOVIMIENTOS!$A:$A,"&gt;="&amp;DATE(PORTADA!$B$2,8,1),MOVIMIENTOS!$A:$A,"&lt;="&amp;EOMONTH(DATE(PORTADA!$B$2,8,1),0),MOVIMIENTOS!$D:$D,$B31)</f>
        <v/>
      </c>
      <c r="E31" s="8">
        <f>C31-D31</f>
        <v/>
      </c>
      <c r="F31" s="9">
        <f>IFERROR(D31/C31,"")</f>
        <v/>
      </c>
      <c r="S31" s="21">
        <f>IF(DAY(DATE(PORTADA!$B$2,8,27))&lt;&gt;27,"",27)</f>
        <v/>
      </c>
      <c r="T31" s="22">
        <f>IF(DAY(DATE(PORTADA!$B$2,8,27))&lt;&gt;27,"",SUMIFS(MOVIMIENTOS!$F:$F,MOVIMIENTOS!$A:$A,DATE(PORTADA!$B$2,8,27),MOVIMIENTOS!$C:$C,T$4))</f>
        <v/>
      </c>
      <c r="U31" s="22">
        <f>IF(DAY(DATE(PORTADA!$B$2,8,27))&lt;&gt;27,"",SUMIFS(MOVIMIENTOS!$F:$F,MOVIMIENTOS!$A:$A,DATE(PORTADA!$B$2,8,27),MOVIMIENTOS!$C:$C,U$4))</f>
        <v/>
      </c>
      <c r="V31" s="22">
        <f>IF(DAY(DATE(PORTADA!$B$2,8,27))&lt;&gt;27,"",SUMIFS(MOVIMIENTOS!$F:$F,MOVIMIENTOS!$A:$A,DATE(PORTADA!$B$2,8,27),MOVIMIENTOS!$C:$C,V$4))</f>
        <v/>
      </c>
      <c r="W31" s="22">
        <f>IF(DAY(DATE(PORTADA!$B$2,8,27))&lt;&gt;27,"",SUMIFS(MOVIMIENTOS!$F:$F,MOVIMIENTOS!$A:$A,DATE(PORTADA!$B$2,8,27),MOVIMIENTOS!$C:$C,W$4))</f>
        <v/>
      </c>
      <c r="X31" s="22">
        <f>IF(DAY(DATE(PORTADA!$B$2,8,27))&lt;&gt;27,"",SUMIFS(MOVIMIENTOS!$F:$F,MOVIMIENTOS!$A:$A,DATE(PORTADA!$B$2,8,27),MOVIMIENTOS!$C:$C,X$4))</f>
        <v/>
      </c>
      <c r="Y31" s="22">
        <f>IF(DAY(DATE(PORTADA!$B$2,8,27))&lt;&gt;27,"",SUMIFS(MOVIMIENTOS!$F:$F,MOVIMIENTOS!$A:$A,DATE(PORTADA!$B$2,8,27),MOVIMIENTOS!$C:$C,Y$4))</f>
        <v/>
      </c>
      <c r="Z31" s="22">
        <f>IF(DAY(DATE(PORTADA!$B$2,8,27))&lt;&gt;27,"",SUMIFS(MOVIMIENTOS!$F:$F,MOVIMIENTOS!$A:$A,DATE(PORTADA!$B$2,8,27),MOVIMIENTOS!$C:$C,Z$4))</f>
        <v/>
      </c>
      <c r="AA31" s="22">
        <f>IF(DAY(DATE(PORTADA!$B$2,8,27))&lt;&gt;27,"",SUM(T31:Z31))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SUMIFS(MOVIMIENTOS!$F:$F,MOVIMIENTOS!$A:$A,"&gt;="&amp;DATE(PORTADA!$B$2,8,1),MOVIMIENTOS!$A:$A,"&lt;="&amp;EOMONTH(DATE(PORTADA!$B$2,8,1),0),MOVIMIENTOS!$D:$D,$B32)</f>
        <v/>
      </c>
      <c r="E32" s="8">
        <f>C32-D32</f>
        <v/>
      </c>
      <c r="F32" s="9">
        <f>IFERROR(D32/C32,"")</f>
        <v/>
      </c>
      <c r="S32" s="21">
        <f>IF(DAY(DATE(PORTADA!$B$2,8,28))&lt;&gt;28,"",28)</f>
        <v/>
      </c>
      <c r="T32" s="22">
        <f>IF(DAY(DATE(PORTADA!$B$2,8,28))&lt;&gt;28,"",SUMIFS(MOVIMIENTOS!$F:$F,MOVIMIENTOS!$A:$A,DATE(PORTADA!$B$2,8,28),MOVIMIENTOS!$C:$C,T$4))</f>
        <v/>
      </c>
      <c r="U32" s="22">
        <f>IF(DAY(DATE(PORTADA!$B$2,8,28))&lt;&gt;28,"",SUMIFS(MOVIMIENTOS!$F:$F,MOVIMIENTOS!$A:$A,DATE(PORTADA!$B$2,8,28),MOVIMIENTOS!$C:$C,U$4))</f>
        <v/>
      </c>
      <c r="V32" s="22">
        <f>IF(DAY(DATE(PORTADA!$B$2,8,28))&lt;&gt;28,"",SUMIFS(MOVIMIENTOS!$F:$F,MOVIMIENTOS!$A:$A,DATE(PORTADA!$B$2,8,28),MOVIMIENTOS!$C:$C,V$4))</f>
        <v/>
      </c>
      <c r="W32" s="22">
        <f>IF(DAY(DATE(PORTADA!$B$2,8,28))&lt;&gt;28,"",SUMIFS(MOVIMIENTOS!$F:$F,MOVIMIENTOS!$A:$A,DATE(PORTADA!$B$2,8,28),MOVIMIENTOS!$C:$C,W$4))</f>
        <v/>
      </c>
      <c r="X32" s="22">
        <f>IF(DAY(DATE(PORTADA!$B$2,8,28))&lt;&gt;28,"",SUMIFS(MOVIMIENTOS!$F:$F,MOVIMIENTOS!$A:$A,DATE(PORTADA!$B$2,8,28),MOVIMIENTOS!$C:$C,X$4))</f>
        <v/>
      </c>
      <c r="Y32" s="22">
        <f>IF(DAY(DATE(PORTADA!$B$2,8,28))&lt;&gt;28,"",SUMIFS(MOVIMIENTOS!$F:$F,MOVIMIENTOS!$A:$A,DATE(PORTADA!$B$2,8,28),MOVIMIENTOS!$C:$C,Y$4))</f>
        <v/>
      </c>
      <c r="Z32" s="22">
        <f>IF(DAY(DATE(PORTADA!$B$2,8,28))&lt;&gt;28,"",SUMIFS(MOVIMIENTOS!$F:$F,MOVIMIENTOS!$A:$A,DATE(PORTADA!$B$2,8,28),MOVIMIENTOS!$C:$C,Z$4))</f>
        <v/>
      </c>
      <c r="AA32" s="22">
        <f>IF(DAY(DATE(PORTADA!$B$2,8,28))&lt;&gt;28,"",SUM(T32:Z32))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SUMIFS(MOVIMIENTOS!$F:$F,MOVIMIENTOS!$A:$A,"&gt;="&amp;DATE(PORTADA!$B$2,8,1),MOVIMIENTOS!$A:$A,"&lt;="&amp;EOMONTH(DATE(PORTADA!$B$2,8,1),0),MOVIMIENTOS!$D:$D,$B33)</f>
        <v/>
      </c>
      <c r="E33" s="8">
        <f>C33-D33</f>
        <v/>
      </c>
      <c r="F33" s="9">
        <f>IFERROR(D33/C33,"")</f>
        <v/>
      </c>
      <c r="S33" s="21">
        <f>IF(DAY(DATE(PORTADA!$B$2,8,29))&lt;&gt;29,"",29)</f>
        <v/>
      </c>
      <c r="T33" s="22">
        <f>IF(DAY(DATE(PORTADA!$B$2,8,29))&lt;&gt;29,"",SUMIFS(MOVIMIENTOS!$F:$F,MOVIMIENTOS!$A:$A,DATE(PORTADA!$B$2,8,29),MOVIMIENTOS!$C:$C,T$4))</f>
        <v/>
      </c>
      <c r="U33" s="22">
        <f>IF(DAY(DATE(PORTADA!$B$2,8,29))&lt;&gt;29,"",SUMIFS(MOVIMIENTOS!$F:$F,MOVIMIENTOS!$A:$A,DATE(PORTADA!$B$2,8,29),MOVIMIENTOS!$C:$C,U$4))</f>
        <v/>
      </c>
      <c r="V33" s="22">
        <f>IF(DAY(DATE(PORTADA!$B$2,8,29))&lt;&gt;29,"",SUMIFS(MOVIMIENTOS!$F:$F,MOVIMIENTOS!$A:$A,DATE(PORTADA!$B$2,8,29),MOVIMIENTOS!$C:$C,V$4))</f>
        <v/>
      </c>
      <c r="W33" s="22">
        <f>IF(DAY(DATE(PORTADA!$B$2,8,29))&lt;&gt;29,"",SUMIFS(MOVIMIENTOS!$F:$F,MOVIMIENTOS!$A:$A,DATE(PORTADA!$B$2,8,29),MOVIMIENTOS!$C:$C,W$4))</f>
        <v/>
      </c>
      <c r="X33" s="22">
        <f>IF(DAY(DATE(PORTADA!$B$2,8,29))&lt;&gt;29,"",SUMIFS(MOVIMIENTOS!$F:$F,MOVIMIENTOS!$A:$A,DATE(PORTADA!$B$2,8,29),MOVIMIENTOS!$C:$C,X$4))</f>
        <v/>
      </c>
      <c r="Y33" s="22">
        <f>IF(DAY(DATE(PORTADA!$B$2,8,29))&lt;&gt;29,"",SUMIFS(MOVIMIENTOS!$F:$F,MOVIMIENTOS!$A:$A,DATE(PORTADA!$B$2,8,29),MOVIMIENTOS!$C:$C,Y$4))</f>
        <v/>
      </c>
      <c r="Z33" s="22">
        <f>IF(DAY(DATE(PORTADA!$B$2,8,29))&lt;&gt;29,"",SUMIFS(MOVIMIENTOS!$F:$F,MOVIMIENTOS!$A:$A,DATE(PORTADA!$B$2,8,29),MOVIMIENTOS!$C:$C,Z$4))</f>
        <v/>
      </c>
      <c r="AA33" s="22">
        <f>IF(DAY(DATE(PORTADA!$B$2,8,29))&lt;&gt;29,"",SUM(T33:Z33))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SUMIFS(MOVIMIENTOS!$F:$F,MOVIMIENTOS!$A:$A,"&gt;="&amp;DATE(PORTADA!$B$2,8,1),MOVIMIENTOS!$A:$A,"&lt;="&amp;EOMONTH(DATE(PORTADA!$B$2,8,1),0),MOVIMIENTOS!$D:$D,$B34)</f>
        <v/>
      </c>
      <c r="E34" s="8">
        <f>C34-D34</f>
        <v/>
      </c>
      <c r="F34" s="9">
        <f>IFERROR(D34/C34,"")</f>
        <v/>
      </c>
      <c r="S34" s="21">
        <f>IF(DAY(DATE(PORTADA!$B$2,8,30))&lt;&gt;30,"",30)</f>
        <v/>
      </c>
      <c r="T34" s="22">
        <f>IF(DAY(DATE(PORTADA!$B$2,8,30))&lt;&gt;30,"",SUMIFS(MOVIMIENTOS!$F:$F,MOVIMIENTOS!$A:$A,DATE(PORTADA!$B$2,8,30),MOVIMIENTOS!$C:$C,T$4))</f>
        <v/>
      </c>
      <c r="U34" s="22">
        <f>IF(DAY(DATE(PORTADA!$B$2,8,30))&lt;&gt;30,"",SUMIFS(MOVIMIENTOS!$F:$F,MOVIMIENTOS!$A:$A,DATE(PORTADA!$B$2,8,30),MOVIMIENTOS!$C:$C,U$4))</f>
        <v/>
      </c>
      <c r="V34" s="22">
        <f>IF(DAY(DATE(PORTADA!$B$2,8,30))&lt;&gt;30,"",SUMIFS(MOVIMIENTOS!$F:$F,MOVIMIENTOS!$A:$A,DATE(PORTADA!$B$2,8,30),MOVIMIENTOS!$C:$C,V$4))</f>
        <v/>
      </c>
      <c r="W34" s="22">
        <f>IF(DAY(DATE(PORTADA!$B$2,8,30))&lt;&gt;30,"",SUMIFS(MOVIMIENTOS!$F:$F,MOVIMIENTOS!$A:$A,DATE(PORTADA!$B$2,8,30),MOVIMIENTOS!$C:$C,W$4))</f>
        <v/>
      </c>
      <c r="X34" s="22">
        <f>IF(DAY(DATE(PORTADA!$B$2,8,30))&lt;&gt;30,"",SUMIFS(MOVIMIENTOS!$F:$F,MOVIMIENTOS!$A:$A,DATE(PORTADA!$B$2,8,30),MOVIMIENTOS!$C:$C,X$4))</f>
        <v/>
      </c>
      <c r="Y34" s="22">
        <f>IF(DAY(DATE(PORTADA!$B$2,8,30))&lt;&gt;30,"",SUMIFS(MOVIMIENTOS!$F:$F,MOVIMIENTOS!$A:$A,DATE(PORTADA!$B$2,8,30),MOVIMIENTOS!$C:$C,Y$4))</f>
        <v/>
      </c>
      <c r="Z34" s="22">
        <f>IF(DAY(DATE(PORTADA!$B$2,8,30))&lt;&gt;30,"",SUMIFS(MOVIMIENTOS!$F:$F,MOVIMIENTOS!$A:$A,DATE(PORTADA!$B$2,8,30),MOVIMIENTOS!$C:$C,Z$4))</f>
        <v/>
      </c>
      <c r="AA34" s="22">
        <f>IF(DAY(DATE(PORTADA!$B$2,8,30))&lt;&gt;30,"",SUM(T34:Z34))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SUMIFS(MOVIMIENTOS!$F:$F,MOVIMIENTOS!$A:$A,"&gt;="&amp;DATE(PORTADA!$B$2,8,1),MOVIMIENTOS!$A:$A,"&lt;="&amp;EOMONTH(DATE(PORTADA!$B$2,8,1),0),MOVIMIENTOS!$D:$D,$B35)</f>
        <v/>
      </c>
      <c r="E35" s="8">
        <f>C35-D35</f>
        <v/>
      </c>
      <c r="F35" s="9">
        <f>IFERROR(D35/C35,"")</f>
        <v/>
      </c>
      <c r="S35" s="21">
        <f>IF(DAY(DATE(PORTADA!$B$2,8,31))&lt;&gt;31,"",31)</f>
        <v/>
      </c>
      <c r="T35" s="22">
        <f>IF(DAY(DATE(PORTADA!$B$2,8,31))&lt;&gt;31,"",SUMIFS(MOVIMIENTOS!$F:$F,MOVIMIENTOS!$A:$A,DATE(PORTADA!$B$2,8,31),MOVIMIENTOS!$C:$C,T$4))</f>
        <v/>
      </c>
      <c r="U35" s="22">
        <f>IF(DAY(DATE(PORTADA!$B$2,8,31))&lt;&gt;31,"",SUMIFS(MOVIMIENTOS!$F:$F,MOVIMIENTOS!$A:$A,DATE(PORTADA!$B$2,8,31),MOVIMIENTOS!$C:$C,U$4))</f>
        <v/>
      </c>
      <c r="V35" s="22">
        <f>IF(DAY(DATE(PORTADA!$B$2,8,31))&lt;&gt;31,"",SUMIFS(MOVIMIENTOS!$F:$F,MOVIMIENTOS!$A:$A,DATE(PORTADA!$B$2,8,31),MOVIMIENTOS!$C:$C,V$4))</f>
        <v/>
      </c>
      <c r="W35" s="22">
        <f>IF(DAY(DATE(PORTADA!$B$2,8,31))&lt;&gt;31,"",SUMIFS(MOVIMIENTOS!$F:$F,MOVIMIENTOS!$A:$A,DATE(PORTADA!$B$2,8,31),MOVIMIENTOS!$C:$C,W$4))</f>
        <v/>
      </c>
      <c r="X35" s="22">
        <f>IF(DAY(DATE(PORTADA!$B$2,8,31))&lt;&gt;31,"",SUMIFS(MOVIMIENTOS!$F:$F,MOVIMIENTOS!$A:$A,DATE(PORTADA!$B$2,8,31),MOVIMIENTOS!$C:$C,X$4))</f>
        <v/>
      </c>
      <c r="Y35" s="22">
        <f>IF(DAY(DATE(PORTADA!$B$2,8,31))&lt;&gt;31,"",SUMIFS(MOVIMIENTOS!$F:$F,MOVIMIENTOS!$A:$A,DATE(PORTADA!$B$2,8,31),MOVIMIENTOS!$C:$C,Y$4))</f>
        <v/>
      </c>
      <c r="Z35" s="22">
        <f>IF(DAY(DATE(PORTADA!$B$2,8,31))&lt;&gt;31,"",SUMIFS(MOVIMIENTOS!$F:$F,MOVIMIENTOS!$A:$A,DATE(PORTADA!$B$2,8,31),MOVIMIENTOS!$C:$C,Z$4))</f>
        <v/>
      </c>
      <c r="AA35" s="22">
        <f>IF(DAY(DATE(PORTADA!$B$2,8,31))&lt;&gt;31,"",SUM(T35:Z35))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SUMIFS(MOVIMIENTOS!$F:$F,MOVIMIENTOS!$A:$A,"&gt;="&amp;DATE(PORTADA!$B$2,8,1),MOVIMIENTOS!$A:$A,"&lt;="&amp;EOMONTH(DATE(PORTADA!$B$2,8,1),0),MOVIMIENTOS!$D:$D,$B36)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SUMIFS(MOVIMIENTOS!$F:$F,MOVIMIENTOS!$A:$A,"&gt;="&amp;DATE(PORTADA!$B$2,8,1),MOVIMIENTOS!$A:$A,"&lt;="&amp;EOMONTH(DATE(PORTADA!$B$2,8,1),0),MOVIMIENTOS!$D:$D,$B37)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SUMIFS(MOVIMIENTOS!$F:$F,MOVIMIENTOS!$A:$A,"&gt;="&amp;DATE(PORTADA!$B$2,8,1),MOVIMIENTOS!$A:$A,"&lt;="&amp;EOMONTH(DATE(PORTADA!$B$2,8,1),0),MOVIMIENTOS!$D:$D,$B38)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SUMIFS(MOVIMIENTOS!$F:$F,MOVIMIENTOS!$A:$A,"&gt;="&amp;DATE(PORTADA!$B$2,8,1),MOVIMIENTOS!$A:$A,"&lt;="&amp;EOMONTH(DATE(PORTADA!$B$2,8,1),0),MOVIMIENTOS!$D:$D,$B39)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SUMIFS(MOVIMIENTOS!$F:$F,MOVIMIENTOS!$A:$A,"&gt;="&amp;DATE(PORTADA!$B$2,8,1),MOVIMIENTOS!$A:$A,"&lt;="&amp;EOMONTH(DATE(PORTADA!$B$2,8,1),0),MOVIMIENTOS!$E:$E,"GASTO")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SUMIFS(MOVIMIENTOS!$F:$F,MOVIMIENTOS!$A:$A,"&gt;="&amp;DATE(PORTADA!$B$2,8,1),MOVIMIENTOS!$A:$A,"&lt;="&amp;EOMONTH(DATE(PORTADA!$B$2,8,1),0),MOVIMIENTOS!$E:$E,"AHORRO")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SUMIFS(MOVIMIENTOS!$F:$F,MOVIMIENTOS!$A:$A,"&gt;="&amp;DATE(PORTADA!$B$2,8,1),MOVIMIENTOS!$A:$A,"&lt;="&amp;EOMONTH(DATE(PORTADA!$B$2,8,1),0),MOVIMIENTOS!$E:$E,"DEUDA")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SEPTIEMBRE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IF(DAY(DATE(PORTADA!$B$2,9,1))&lt;&gt;1,"",1)</f>
        <v/>
      </c>
      <c r="T5" s="22">
        <f>IF(DAY(DATE(PORTADA!$B$2,9,1))&lt;&gt;1,"",SUMIFS(MOVIMIENTOS!$F:$F,MOVIMIENTOS!$A:$A,DATE(PORTADA!$B$2,9,1),MOVIMIENTOS!$C:$C,T$4))</f>
        <v/>
      </c>
      <c r="U5" s="22">
        <f>IF(DAY(DATE(PORTADA!$B$2,9,1))&lt;&gt;1,"",SUMIFS(MOVIMIENTOS!$F:$F,MOVIMIENTOS!$A:$A,DATE(PORTADA!$B$2,9,1),MOVIMIENTOS!$C:$C,U$4))</f>
        <v/>
      </c>
      <c r="V5" s="22">
        <f>IF(DAY(DATE(PORTADA!$B$2,9,1))&lt;&gt;1,"",SUMIFS(MOVIMIENTOS!$F:$F,MOVIMIENTOS!$A:$A,DATE(PORTADA!$B$2,9,1),MOVIMIENTOS!$C:$C,V$4))</f>
        <v/>
      </c>
      <c r="W5" s="22">
        <f>IF(DAY(DATE(PORTADA!$B$2,9,1))&lt;&gt;1,"",SUMIFS(MOVIMIENTOS!$F:$F,MOVIMIENTOS!$A:$A,DATE(PORTADA!$B$2,9,1),MOVIMIENTOS!$C:$C,W$4))</f>
        <v/>
      </c>
      <c r="X5" s="22">
        <f>IF(DAY(DATE(PORTADA!$B$2,9,1))&lt;&gt;1,"",SUMIFS(MOVIMIENTOS!$F:$F,MOVIMIENTOS!$A:$A,DATE(PORTADA!$B$2,9,1),MOVIMIENTOS!$C:$C,X$4))</f>
        <v/>
      </c>
      <c r="Y5" s="22">
        <f>IF(DAY(DATE(PORTADA!$B$2,9,1))&lt;&gt;1,"",SUMIFS(MOVIMIENTOS!$F:$F,MOVIMIENTOS!$A:$A,DATE(PORTADA!$B$2,9,1),MOVIMIENTOS!$C:$C,Y$4))</f>
        <v/>
      </c>
      <c r="Z5" s="22">
        <f>IF(DAY(DATE(PORTADA!$B$2,9,1))&lt;&gt;1,"",SUMIFS(MOVIMIENTOS!$F:$F,MOVIMIENTOS!$A:$A,DATE(PORTADA!$B$2,9,1),MOVIMIENTOS!$C:$C,Z$4))</f>
        <v/>
      </c>
      <c r="AA5" s="22">
        <f>IF(DAY(DATE(PORTADA!$B$2,9,1))&lt;&gt;1,"",SUM(T5:Z5))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SUMIFS(MOVIMIENTOS!$F:$F,MOVIMIENTOS!$A:$A,"&gt;="&amp;DATE(PORTADA!$B$2,9,1),MOVIMIENTOS!$A:$A,"&lt;="&amp;EOMONTH(DATE(PORTADA!$B$2,9,1),0),MOVIMIENTOS!$D:$D,$B6)</f>
        <v/>
      </c>
      <c r="E6" s="8">
        <f>D6-C6</f>
        <v/>
      </c>
      <c r="F6" s="9">
        <f>IFERROR(D6/C6,"")</f>
        <v/>
      </c>
      <c r="S6" s="21">
        <f>IF(DAY(DATE(PORTADA!$B$2,9,2))&lt;&gt;2,"",2)</f>
        <v/>
      </c>
      <c r="T6" s="22">
        <f>IF(DAY(DATE(PORTADA!$B$2,9,2))&lt;&gt;2,"",SUMIFS(MOVIMIENTOS!$F:$F,MOVIMIENTOS!$A:$A,DATE(PORTADA!$B$2,9,2),MOVIMIENTOS!$C:$C,T$4))</f>
        <v/>
      </c>
      <c r="U6" s="22">
        <f>IF(DAY(DATE(PORTADA!$B$2,9,2))&lt;&gt;2,"",SUMIFS(MOVIMIENTOS!$F:$F,MOVIMIENTOS!$A:$A,DATE(PORTADA!$B$2,9,2),MOVIMIENTOS!$C:$C,U$4))</f>
        <v/>
      </c>
      <c r="V6" s="22">
        <f>IF(DAY(DATE(PORTADA!$B$2,9,2))&lt;&gt;2,"",SUMIFS(MOVIMIENTOS!$F:$F,MOVIMIENTOS!$A:$A,DATE(PORTADA!$B$2,9,2),MOVIMIENTOS!$C:$C,V$4))</f>
        <v/>
      </c>
      <c r="W6" s="22">
        <f>IF(DAY(DATE(PORTADA!$B$2,9,2))&lt;&gt;2,"",SUMIFS(MOVIMIENTOS!$F:$F,MOVIMIENTOS!$A:$A,DATE(PORTADA!$B$2,9,2),MOVIMIENTOS!$C:$C,W$4))</f>
        <v/>
      </c>
      <c r="X6" s="22">
        <f>IF(DAY(DATE(PORTADA!$B$2,9,2))&lt;&gt;2,"",SUMIFS(MOVIMIENTOS!$F:$F,MOVIMIENTOS!$A:$A,DATE(PORTADA!$B$2,9,2),MOVIMIENTOS!$C:$C,X$4))</f>
        <v/>
      </c>
      <c r="Y6" s="22">
        <f>IF(DAY(DATE(PORTADA!$B$2,9,2))&lt;&gt;2,"",SUMIFS(MOVIMIENTOS!$F:$F,MOVIMIENTOS!$A:$A,DATE(PORTADA!$B$2,9,2),MOVIMIENTOS!$C:$C,Y$4))</f>
        <v/>
      </c>
      <c r="Z6" s="22">
        <f>IF(DAY(DATE(PORTADA!$B$2,9,2))&lt;&gt;2,"",SUMIFS(MOVIMIENTOS!$F:$F,MOVIMIENTOS!$A:$A,DATE(PORTADA!$B$2,9,2),MOVIMIENTOS!$C:$C,Z$4))</f>
        <v/>
      </c>
      <c r="AA6" s="22">
        <f>IF(DAY(DATE(PORTADA!$B$2,9,2))&lt;&gt;2,"",SUM(T6:Z6))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SUMIFS(MOVIMIENTOS!$F:$F,MOVIMIENTOS!$A:$A,"&gt;="&amp;DATE(PORTADA!$B$2,9,1),MOVIMIENTOS!$A:$A,"&lt;="&amp;EOMONTH(DATE(PORTADA!$B$2,9,1),0),MOVIMIENTOS!$D:$D,$B7)</f>
        <v/>
      </c>
      <c r="E7" s="8">
        <f>D7-C7</f>
        <v/>
      </c>
      <c r="F7" s="9">
        <f>IFERROR(D7/C7,"")</f>
        <v/>
      </c>
      <c r="S7" s="21">
        <f>IF(DAY(DATE(PORTADA!$B$2,9,3))&lt;&gt;3,"",3)</f>
        <v/>
      </c>
      <c r="T7" s="22">
        <f>IF(DAY(DATE(PORTADA!$B$2,9,3))&lt;&gt;3,"",SUMIFS(MOVIMIENTOS!$F:$F,MOVIMIENTOS!$A:$A,DATE(PORTADA!$B$2,9,3),MOVIMIENTOS!$C:$C,T$4))</f>
        <v/>
      </c>
      <c r="U7" s="22">
        <f>IF(DAY(DATE(PORTADA!$B$2,9,3))&lt;&gt;3,"",SUMIFS(MOVIMIENTOS!$F:$F,MOVIMIENTOS!$A:$A,DATE(PORTADA!$B$2,9,3),MOVIMIENTOS!$C:$C,U$4))</f>
        <v/>
      </c>
      <c r="V7" s="22">
        <f>IF(DAY(DATE(PORTADA!$B$2,9,3))&lt;&gt;3,"",SUMIFS(MOVIMIENTOS!$F:$F,MOVIMIENTOS!$A:$A,DATE(PORTADA!$B$2,9,3),MOVIMIENTOS!$C:$C,V$4))</f>
        <v/>
      </c>
      <c r="W7" s="22">
        <f>IF(DAY(DATE(PORTADA!$B$2,9,3))&lt;&gt;3,"",SUMIFS(MOVIMIENTOS!$F:$F,MOVIMIENTOS!$A:$A,DATE(PORTADA!$B$2,9,3),MOVIMIENTOS!$C:$C,W$4))</f>
        <v/>
      </c>
      <c r="X7" s="22">
        <f>IF(DAY(DATE(PORTADA!$B$2,9,3))&lt;&gt;3,"",SUMIFS(MOVIMIENTOS!$F:$F,MOVIMIENTOS!$A:$A,DATE(PORTADA!$B$2,9,3),MOVIMIENTOS!$C:$C,X$4))</f>
        <v/>
      </c>
      <c r="Y7" s="22">
        <f>IF(DAY(DATE(PORTADA!$B$2,9,3))&lt;&gt;3,"",SUMIFS(MOVIMIENTOS!$F:$F,MOVIMIENTOS!$A:$A,DATE(PORTADA!$B$2,9,3),MOVIMIENTOS!$C:$C,Y$4))</f>
        <v/>
      </c>
      <c r="Z7" s="22">
        <f>IF(DAY(DATE(PORTADA!$B$2,9,3))&lt;&gt;3,"",SUMIFS(MOVIMIENTOS!$F:$F,MOVIMIENTOS!$A:$A,DATE(PORTADA!$B$2,9,3),MOVIMIENTOS!$C:$C,Z$4))</f>
        <v/>
      </c>
      <c r="AA7" s="22">
        <f>IF(DAY(DATE(PORTADA!$B$2,9,3))&lt;&gt;3,"",SUM(T7:Z7))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SUMIFS(MOVIMIENTOS!$F:$F,MOVIMIENTOS!$A:$A,"&gt;="&amp;DATE(PORTADA!$B$2,9,1),MOVIMIENTOS!$A:$A,"&lt;="&amp;EOMONTH(DATE(PORTADA!$B$2,9,1),0),MOVIMIENTOS!$D:$D,$B8)</f>
        <v/>
      </c>
      <c r="E8" s="8">
        <f>D8-C8</f>
        <v/>
      </c>
      <c r="F8" s="9">
        <f>IFERROR(D8/C8,"")</f>
        <v/>
      </c>
      <c r="S8" s="21">
        <f>IF(DAY(DATE(PORTADA!$B$2,9,4))&lt;&gt;4,"",4)</f>
        <v/>
      </c>
      <c r="T8" s="22">
        <f>IF(DAY(DATE(PORTADA!$B$2,9,4))&lt;&gt;4,"",SUMIFS(MOVIMIENTOS!$F:$F,MOVIMIENTOS!$A:$A,DATE(PORTADA!$B$2,9,4),MOVIMIENTOS!$C:$C,T$4))</f>
        <v/>
      </c>
      <c r="U8" s="22">
        <f>IF(DAY(DATE(PORTADA!$B$2,9,4))&lt;&gt;4,"",SUMIFS(MOVIMIENTOS!$F:$F,MOVIMIENTOS!$A:$A,DATE(PORTADA!$B$2,9,4),MOVIMIENTOS!$C:$C,U$4))</f>
        <v/>
      </c>
      <c r="V8" s="22">
        <f>IF(DAY(DATE(PORTADA!$B$2,9,4))&lt;&gt;4,"",SUMIFS(MOVIMIENTOS!$F:$F,MOVIMIENTOS!$A:$A,DATE(PORTADA!$B$2,9,4),MOVIMIENTOS!$C:$C,V$4))</f>
        <v/>
      </c>
      <c r="W8" s="22">
        <f>IF(DAY(DATE(PORTADA!$B$2,9,4))&lt;&gt;4,"",SUMIFS(MOVIMIENTOS!$F:$F,MOVIMIENTOS!$A:$A,DATE(PORTADA!$B$2,9,4),MOVIMIENTOS!$C:$C,W$4))</f>
        <v/>
      </c>
      <c r="X8" s="22">
        <f>IF(DAY(DATE(PORTADA!$B$2,9,4))&lt;&gt;4,"",SUMIFS(MOVIMIENTOS!$F:$F,MOVIMIENTOS!$A:$A,DATE(PORTADA!$B$2,9,4),MOVIMIENTOS!$C:$C,X$4))</f>
        <v/>
      </c>
      <c r="Y8" s="22">
        <f>IF(DAY(DATE(PORTADA!$B$2,9,4))&lt;&gt;4,"",SUMIFS(MOVIMIENTOS!$F:$F,MOVIMIENTOS!$A:$A,DATE(PORTADA!$B$2,9,4),MOVIMIENTOS!$C:$C,Y$4))</f>
        <v/>
      </c>
      <c r="Z8" s="22">
        <f>IF(DAY(DATE(PORTADA!$B$2,9,4))&lt;&gt;4,"",SUMIFS(MOVIMIENTOS!$F:$F,MOVIMIENTOS!$A:$A,DATE(PORTADA!$B$2,9,4),MOVIMIENTOS!$C:$C,Z$4))</f>
        <v/>
      </c>
      <c r="AA8" s="22">
        <f>IF(DAY(DATE(PORTADA!$B$2,9,4))&lt;&gt;4,"",SUM(T8:Z8))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SUMIFS(MOVIMIENTOS!$F:$F,MOVIMIENTOS!$A:$A,"&gt;="&amp;DATE(PORTADA!$B$2,9,1),MOVIMIENTOS!$A:$A,"&lt;="&amp;EOMONTH(DATE(PORTADA!$B$2,9,1),0),MOVIMIENTOS!$D:$D,$B9)</f>
        <v/>
      </c>
      <c r="E9" s="8">
        <f>D9-C9</f>
        <v/>
      </c>
      <c r="F9" s="9">
        <f>IFERROR(D9/C9,"")</f>
        <v/>
      </c>
      <c r="S9" s="21">
        <f>IF(DAY(DATE(PORTADA!$B$2,9,5))&lt;&gt;5,"",5)</f>
        <v/>
      </c>
      <c r="T9" s="22">
        <f>IF(DAY(DATE(PORTADA!$B$2,9,5))&lt;&gt;5,"",SUMIFS(MOVIMIENTOS!$F:$F,MOVIMIENTOS!$A:$A,DATE(PORTADA!$B$2,9,5),MOVIMIENTOS!$C:$C,T$4))</f>
        <v/>
      </c>
      <c r="U9" s="22">
        <f>IF(DAY(DATE(PORTADA!$B$2,9,5))&lt;&gt;5,"",SUMIFS(MOVIMIENTOS!$F:$F,MOVIMIENTOS!$A:$A,DATE(PORTADA!$B$2,9,5),MOVIMIENTOS!$C:$C,U$4))</f>
        <v/>
      </c>
      <c r="V9" s="22">
        <f>IF(DAY(DATE(PORTADA!$B$2,9,5))&lt;&gt;5,"",SUMIFS(MOVIMIENTOS!$F:$F,MOVIMIENTOS!$A:$A,DATE(PORTADA!$B$2,9,5),MOVIMIENTOS!$C:$C,V$4))</f>
        <v/>
      </c>
      <c r="W9" s="22">
        <f>IF(DAY(DATE(PORTADA!$B$2,9,5))&lt;&gt;5,"",SUMIFS(MOVIMIENTOS!$F:$F,MOVIMIENTOS!$A:$A,DATE(PORTADA!$B$2,9,5),MOVIMIENTOS!$C:$C,W$4))</f>
        <v/>
      </c>
      <c r="X9" s="22">
        <f>IF(DAY(DATE(PORTADA!$B$2,9,5))&lt;&gt;5,"",SUMIFS(MOVIMIENTOS!$F:$F,MOVIMIENTOS!$A:$A,DATE(PORTADA!$B$2,9,5),MOVIMIENTOS!$C:$C,X$4))</f>
        <v/>
      </c>
      <c r="Y9" s="22">
        <f>IF(DAY(DATE(PORTADA!$B$2,9,5))&lt;&gt;5,"",SUMIFS(MOVIMIENTOS!$F:$F,MOVIMIENTOS!$A:$A,DATE(PORTADA!$B$2,9,5),MOVIMIENTOS!$C:$C,Y$4))</f>
        <v/>
      </c>
      <c r="Z9" s="22">
        <f>IF(DAY(DATE(PORTADA!$B$2,9,5))&lt;&gt;5,"",SUMIFS(MOVIMIENTOS!$F:$F,MOVIMIENTOS!$A:$A,DATE(PORTADA!$B$2,9,5),MOVIMIENTOS!$C:$C,Z$4))</f>
        <v/>
      </c>
      <c r="AA9" s="22">
        <f>IF(DAY(DATE(PORTADA!$B$2,9,5))&lt;&gt;5,"",SUM(T9:Z9))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SUMIFS(MOVIMIENTOS!$F:$F,MOVIMIENTOS!$A:$A,"&gt;="&amp;DATE(PORTADA!$B$2,9,1),MOVIMIENTOS!$A:$A,"&lt;="&amp;EOMONTH(DATE(PORTADA!$B$2,9,1),0),MOVIMIENTOS!$D:$D,$B10)</f>
        <v/>
      </c>
      <c r="E10" s="8">
        <f>D10-C10</f>
        <v/>
      </c>
      <c r="F10" s="9">
        <f>IFERROR(D10/C10,"")</f>
        <v/>
      </c>
      <c r="S10" s="21">
        <f>IF(DAY(DATE(PORTADA!$B$2,9,6))&lt;&gt;6,"",6)</f>
        <v/>
      </c>
      <c r="T10" s="22">
        <f>IF(DAY(DATE(PORTADA!$B$2,9,6))&lt;&gt;6,"",SUMIFS(MOVIMIENTOS!$F:$F,MOVIMIENTOS!$A:$A,DATE(PORTADA!$B$2,9,6),MOVIMIENTOS!$C:$C,T$4))</f>
        <v/>
      </c>
      <c r="U10" s="22">
        <f>IF(DAY(DATE(PORTADA!$B$2,9,6))&lt;&gt;6,"",SUMIFS(MOVIMIENTOS!$F:$F,MOVIMIENTOS!$A:$A,DATE(PORTADA!$B$2,9,6),MOVIMIENTOS!$C:$C,U$4))</f>
        <v/>
      </c>
      <c r="V10" s="22">
        <f>IF(DAY(DATE(PORTADA!$B$2,9,6))&lt;&gt;6,"",SUMIFS(MOVIMIENTOS!$F:$F,MOVIMIENTOS!$A:$A,DATE(PORTADA!$B$2,9,6),MOVIMIENTOS!$C:$C,V$4))</f>
        <v/>
      </c>
      <c r="W10" s="22">
        <f>IF(DAY(DATE(PORTADA!$B$2,9,6))&lt;&gt;6,"",SUMIFS(MOVIMIENTOS!$F:$F,MOVIMIENTOS!$A:$A,DATE(PORTADA!$B$2,9,6),MOVIMIENTOS!$C:$C,W$4))</f>
        <v/>
      </c>
      <c r="X10" s="22">
        <f>IF(DAY(DATE(PORTADA!$B$2,9,6))&lt;&gt;6,"",SUMIFS(MOVIMIENTOS!$F:$F,MOVIMIENTOS!$A:$A,DATE(PORTADA!$B$2,9,6),MOVIMIENTOS!$C:$C,X$4))</f>
        <v/>
      </c>
      <c r="Y10" s="22">
        <f>IF(DAY(DATE(PORTADA!$B$2,9,6))&lt;&gt;6,"",SUMIFS(MOVIMIENTOS!$F:$F,MOVIMIENTOS!$A:$A,DATE(PORTADA!$B$2,9,6),MOVIMIENTOS!$C:$C,Y$4))</f>
        <v/>
      </c>
      <c r="Z10" s="22">
        <f>IF(DAY(DATE(PORTADA!$B$2,9,6))&lt;&gt;6,"",SUMIFS(MOVIMIENTOS!$F:$F,MOVIMIENTOS!$A:$A,DATE(PORTADA!$B$2,9,6),MOVIMIENTOS!$C:$C,Z$4))</f>
        <v/>
      </c>
      <c r="AA10" s="22">
        <f>IF(DAY(DATE(PORTADA!$B$2,9,6))&lt;&gt;6,"",SUM(T10:Z10))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SUMIFS(MOVIMIENTOS!$F:$F,MOVIMIENTOS!$A:$A,"&gt;="&amp;DATE(PORTADA!$B$2,9,1),MOVIMIENTOS!$A:$A,"&lt;="&amp;EOMONTH(DATE(PORTADA!$B$2,9,1),0),MOVIMIENTOS!$D:$D,$B11)</f>
        <v/>
      </c>
      <c r="E11" s="8">
        <f>D11-C11</f>
        <v/>
      </c>
      <c r="F11" s="9">
        <f>IFERROR(D11/C11,"")</f>
        <v/>
      </c>
      <c r="S11" s="21">
        <f>IF(DAY(DATE(PORTADA!$B$2,9,7))&lt;&gt;7,"",7)</f>
        <v/>
      </c>
      <c r="T11" s="22">
        <f>IF(DAY(DATE(PORTADA!$B$2,9,7))&lt;&gt;7,"",SUMIFS(MOVIMIENTOS!$F:$F,MOVIMIENTOS!$A:$A,DATE(PORTADA!$B$2,9,7),MOVIMIENTOS!$C:$C,T$4))</f>
        <v/>
      </c>
      <c r="U11" s="22">
        <f>IF(DAY(DATE(PORTADA!$B$2,9,7))&lt;&gt;7,"",SUMIFS(MOVIMIENTOS!$F:$F,MOVIMIENTOS!$A:$A,DATE(PORTADA!$B$2,9,7),MOVIMIENTOS!$C:$C,U$4))</f>
        <v/>
      </c>
      <c r="V11" s="22">
        <f>IF(DAY(DATE(PORTADA!$B$2,9,7))&lt;&gt;7,"",SUMIFS(MOVIMIENTOS!$F:$F,MOVIMIENTOS!$A:$A,DATE(PORTADA!$B$2,9,7),MOVIMIENTOS!$C:$C,V$4))</f>
        <v/>
      </c>
      <c r="W11" s="22">
        <f>IF(DAY(DATE(PORTADA!$B$2,9,7))&lt;&gt;7,"",SUMIFS(MOVIMIENTOS!$F:$F,MOVIMIENTOS!$A:$A,DATE(PORTADA!$B$2,9,7),MOVIMIENTOS!$C:$C,W$4))</f>
        <v/>
      </c>
      <c r="X11" s="22">
        <f>IF(DAY(DATE(PORTADA!$B$2,9,7))&lt;&gt;7,"",SUMIFS(MOVIMIENTOS!$F:$F,MOVIMIENTOS!$A:$A,DATE(PORTADA!$B$2,9,7),MOVIMIENTOS!$C:$C,X$4))</f>
        <v/>
      </c>
      <c r="Y11" s="22">
        <f>IF(DAY(DATE(PORTADA!$B$2,9,7))&lt;&gt;7,"",SUMIFS(MOVIMIENTOS!$F:$F,MOVIMIENTOS!$A:$A,DATE(PORTADA!$B$2,9,7),MOVIMIENTOS!$C:$C,Y$4))</f>
        <v/>
      </c>
      <c r="Z11" s="22">
        <f>IF(DAY(DATE(PORTADA!$B$2,9,7))&lt;&gt;7,"",SUMIFS(MOVIMIENTOS!$F:$F,MOVIMIENTOS!$A:$A,DATE(PORTADA!$B$2,9,7),MOVIMIENTOS!$C:$C,Z$4))</f>
        <v/>
      </c>
      <c r="AA11" s="22">
        <f>IF(DAY(DATE(PORTADA!$B$2,9,7))&lt;&gt;7,"",SUM(T11:Z11))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SUMIFS(MOVIMIENTOS!$F:$F,MOVIMIENTOS!$A:$A,"&gt;="&amp;DATE(PORTADA!$B$2,9,1),MOVIMIENTOS!$A:$A,"&lt;="&amp;EOMONTH(DATE(PORTADA!$B$2,9,1),0),MOVIMIENTOS!$D:$D,$B12)</f>
        <v/>
      </c>
      <c r="E12" s="8">
        <f>D12-C12</f>
        <v/>
      </c>
      <c r="F12" s="9">
        <f>IFERROR(D12/C12,"")</f>
        <v/>
      </c>
      <c r="S12" s="21">
        <f>IF(DAY(DATE(PORTADA!$B$2,9,8))&lt;&gt;8,"",8)</f>
        <v/>
      </c>
      <c r="T12" s="22">
        <f>IF(DAY(DATE(PORTADA!$B$2,9,8))&lt;&gt;8,"",SUMIFS(MOVIMIENTOS!$F:$F,MOVIMIENTOS!$A:$A,DATE(PORTADA!$B$2,9,8),MOVIMIENTOS!$C:$C,T$4))</f>
        <v/>
      </c>
      <c r="U12" s="22">
        <f>IF(DAY(DATE(PORTADA!$B$2,9,8))&lt;&gt;8,"",SUMIFS(MOVIMIENTOS!$F:$F,MOVIMIENTOS!$A:$A,DATE(PORTADA!$B$2,9,8),MOVIMIENTOS!$C:$C,U$4))</f>
        <v/>
      </c>
      <c r="V12" s="22">
        <f>IF(DAY(DATE(PORTADA!$B$2,9,8))&lt;&gt;8,"",SUMIFS(MOVIMIENTOS!$F:$F,MOVIMIENTOS!$A:$A,DATE(PORTADA!$B$2,9,8),MOVIMIENTOS!$C:$C,V$4))</f>
        <v/>
      </c>
      <c r="W12" s="22">
        <f>IF(DAY(DATE(PORTADA!$B$2,9,8))&lt;&gt;8,"",SUMIFS(MOVIMIENTOS!$F:$F,MOVIMIENTOS!$A:$A,DATE(PORTADA!$B$2,9,8),MOVIMIENTOS!$C:$C,W$4))</f>
        <v/>
      </c>
      <c r="X12" s="22">
        <f>IF(DAY(DATE(PORTADA!$B$2,9,8))&lt;&gt;8,"",SUMIFS(MOVIMIENTOS!$F:$F,MOVIMIENTOS!$A:$A,DATE(PORTADA!$B$2,9,8),MOVIMIENTOS!$C:$C,X$4))</f>
        <v/>
      </c>
      <c r="Y12" s="22">
        <f>IF(DAY(DATE(PORTADA!$B$2,9,8))&lt;&gt;8,"",SUMIFS(MOVIMIENTOS!$F:$F,MOVIMIENTOS!$A:$A,DATE(PORTADA!$B$2,9,8),MOVIMIENTOS!$C:$C,Y$4))</f>
        <v/>
      </c>
      <c r="Z12" s="22">
        <f>IF(DAY(DATE(PORTADA!$B$2,9,8))&lt;&gt;8,"",SUMIFS(MOVIMIENTOS!$F:$F,MOVIMIENTOS!$A:$A,DATE(PORTADA!$B$2,9,8),MOVIMIENTOS!$C:$C,Z$4))</f>
        <v/>
      </c>
      <c r="AA12" s="22">
        <f>IF(DAY(DATE(PORTADA!$B$2,9,8))&lt;&gt;8,"",SUM(T12:Z12))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IF(DAY(DATE(PORTADA!$B$2,9,9))&lt;&gt;9,"",9)</f>
        <v/>
      </c>
      <c r="T13" s="22">
        <f>IF(DAY(DATE(PORTADA!$B$2,9,9))&lt;&gt;9,"",SUMIFS(MOVIMIENTOS!$F:$F,MOVIMIENTOS!$A:$A,DATE(PORTADA!$B$2,9,9),MOVIMIENTOS!$C:$C,T$4))</f>
        <v/>
      </c>
      <c r="U13" s="22">
        <f>IF(DAY(DATE(PORTADA!$B$2,9,9))&lt;&gt;9,"",SUMIFS(MOVIMIENTOS!$F:$F,MOVIMIENTOS!$A:$A,DATE(PORTADA!$B$2,9,9),MOVIMIENTOS!$C:$C,U$4))</f>
        <v/>
      </c>
      <c r="V13" s="22">
        <f>IF(DAY(DATE(PORTADA!$B$2,9,9))&lt;&gt;9,"",SUMIFS(MOVIMIENTOS!$F:$F,MOVIMIENTOS!$A:$A,DATE(PORTADA!$B$2,9,9),MOVIMIENTOS!$C:$C,V$4))</f>
        <v/>
      </c>
      <c r="W13" s="22">
        <f>IF(DAY(DATE(PORTADA!$B$2,9,9))&lt;&gt;9,"",SUMIFS(MOVIMIENTOS!$F:$F,MOVIMIENTOS!$A:$A,DATE(PORTADA!$B$2,9,9),MOVIMIENTOS!$C:$C,W$4))</f>
        <v/>
      </c>
      <c r="X13" s="22">
        <f>IF(DAY(DATE(PORTADA!$B$2,9,9))&lt;&gt;9,"",SUMIFS(MOVIMIENTOS!$F:$F,MOVIMIENTOS!$A:$A,DATE(PORTADA!$B$2,9,9),MOVIMIENTOS!$C:$C,X$4))</f>
        <v/>
      </c>
      <c r="Y13" s="22">
        <f>IF(DAY(DATE(PORTADA!$B$2,9,9))&lt;&gt;9,"",SUMIFS(MOVIMIENTOS!$F:$F,MOVIMIENTOS!$A:$A,DATE(PORTADA!$B$2,9,9),MOVIMIENTOS!$C:$C,Y$4))</f>
        <v/>
      </c>
      <c r="Z13" s="22">
        <f>IF(DAY(DATE(PORTADA!$B$2,9,9))&lt;&gt;9,"",SUMIFS(MOVIMIENTOS!$F:$F,MOVIMIENTOS!$A:$A,DATE(PORTADA!$B$2,9,9),MOVIMIENTOS!$C:$C,Z$4))</f>
        <v/>
      </c>
      <c r="AA13" s="22">
        <f>IF(DAY(DATE(PORTADA!$B$2,9,9))&lt;&gt;9,"",SUM(T13:Z13))</f>
        <v/>
      </c>
    </row>
    <row r="14">
      <c r="S14" s="21">
        <f>IF(DAY(DATE(PORTADA!$B$2,9,10))&lt;&gt;10,"",10)</f>
        <v/>
      </c>
      <c r="T14" s="22">
        <f>IF(DAY(DATE(PORTADA!$B$2,9,10))&lt;&gt;10,"",SUMIFS(MOVIMIENTOS!$F:$F,MOVIMIENTOS!$A:$A,DATE(PORTADA!$B$2,9,10),MOVIMIENTOS!$C:$C,T$4))</f>
        <v/>
      </c>
      <c r="U14" s="22">
        <f>IF(DAY(DATE(PORTADA!$B$2,9,10))&lt;&gt;10,"",SUMIFS(MOVIMIENTOS!$F:$F,MOVIMIENTOS!$A:$A,DATE(PORTADA!$B$2,9,10),MOVIMIENTOS!$C:$C,U$4))</f>
        <v/>
      </c>
      <c r="V14" s="22">
        <f>IF(DAY(DATE(PORTADA!$B$2,9,10))&lt;&gt;10,"",SUMIFS(MOVIMIENTOS!$F:$F,MOVIMIENTOS!$A:$A,DATE(PORTADA!$B$2,9,10),MOVIMIENTOS!$C:$C,V$4))</f>
        <v/>
      </c>
      <c r="W14" s="22">
        <f>IF(DAY(DATE(PORTADA!$B$2,9,10))&lt;&gt;10,"",SUMIFS(MOVIMIENTOS!$F:$F,MOVIMIENTOS!$A:$A,DATE(PORTADA!$B$2,9,10),MOVIMIENTOS!$C:$C,W$4))</f>
        <v/>
      </c>
      <c r="X14" s="22">
        <f>IF(DAY(DATE(PORTADA!$B$2,9,10))&lt;&gt;10,"",SUMIFS(MOVIMIENTOS!$F:$F,MOVIMIENTOS!$A:$A,DATE(PORTADA!$B$2,9,10),MOVIMIENTOS!$C:$C,X$4))</f>
        <v/>
      </c>
      <c r="Y14" s="22">
        <f>IF(DAY(DATE(PORTADA!$B$2,9,10))&lt;&gt;10,"",SUMIFS(MOVIMIENTOS!$F:$F,MOVIMIENTOS!$A:$A,DATE(PORTADA!$B$2,9,10),MOVIMIENTOS!$C:$C,Y$4))</f>
        <v/>
      </c>
      <c r="Z14" s="22">
        <f>IF(DAY(DATE(PORTADA!$B$2,9,10))&lt;&gt;10,"",SUMIFS(MOVIMIENTOS!$F:$F,MOVIMIENTOS!$A:$A,DATE(PORTADA!$B$2,9,10),MOVIMIENTOS!$C:$C,Z$4))</f>
        <v/>
      </c>
      <c r="AA14" s="22">
        <f>IF(DAY(DATE(PORTADA!$B$2,9,10))&lt;&gt;10,"",SUM(T14:Z14))</f>
        <v/>
      </c>
    </row>
    <row r="15">
      <c r="A15" s="2" t="inlineStr">
        <is>
          <t>EGRESOS</t>
        </is>
      </c>
      <c r="S15" s="21">
        <f>IF(DAY(DATE(PORTADA!$B$2,9,11))&lt;&gt;11,"",11)</f>
        <v/>
      </c>
      <c r="T15" s="22">
        <f>IF(DAY(DATE(PORTADA!$B$2,9,11))&lt;&gt;11,"",SUMIFS(MOVIMIENTOS!$F:$F,MOVIMIENTOS!$A:$A,DATE(PORTADA!$B$2,9,11),MOVIMIENTOS!$C:$C,T$4))</f>
        <v/>
      </c>
      <c r="U15" s="22">
        <f>IF(DAY(DATE(PORTADA!$B$2,9,11))&lt;&gt;11,"",SUMIFS(MOVIMIENTOS!$F:$F,MOVIMIENTOS!$A:$A,DATE(PORTADA!$B$2,9,11),MOVIMIENTOS!$C:$C,U$4))</f>
        <v/>
      </c>
      <c r="V15" s="22">
        <f>IF(DAY(DATE(PORTADA!$B$2,9,11))&lt;&gt;11,"",SUMIFS(MOVIMIENTOS!$F:$F,MOVIMIENTOS!$A:$A,DATE(PORTADA!$B$2,9,11),MOVIMIENTOS!$C:$C,V$4))</f>
        <v/>
      </c>
      <c r="W15" s="22">
        <f>IF(DAY(DATE(PORTADA!$B$2,9,11))&lt;&gt;11,"",SUMIFS(MOVIMIENTOS!$F:$F,MOVIMIENTOS!$A:$A,DATE(PORTADA!$B$2,9,11),MOVIMIENTOS!$C:$C,W$4))</f>
        <v/>
      </c>
      <c r="X15" s="22">
        <f>IF(DAY(DATE(PORTADA!$B$2,9,11))&lt;&gt;11,"",SUMIFS(MOVIMIENTOS!$F:$F,MOVIMIENTOS!$A:$A,DATE(PORTADA!$B$2,9,11),MOVIMIENTOS!$C:$C,X$4))</f>
        <v/>
      </c>
      <c r="Y15" s="22">
        <f>IF(DAY(DATE(PORTADA!$B$2,9,11))&lt;&gt;11,"",SUMIFS(MOVIMIENTOS!$F:$F,MOVIMIENTOS!$A:$A,DATE(PORTADA!$B$2,9,11),MOVIMIENTOS!$C:$C,Y$4))</f>
        <v/>
      </c>
      <c r="Z15" s="22">
        <f>IF(DAY(DATE(PORTADA!$B$2,9,11))&lt;&gt;11,"",SUMIFS(MOVIMIENTOS!$F:$F,MOVIMIENTOS!$A:$A,DATE(PORTADA!$B$2,9,11),MOVIMIENTOS!$C:$C,Z$4))</f>
        <v/>
      </c>
      <c r="AA15" s="22">
        <f>IF(DAY(DATE(PORTADA!$B$2,9,11))&lt;&gt;11,"",SUM(T15:Z15))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IF(DAY(DATE(PORTADA!$B$2,9,12))&lt;&gt;12,"",12)</f>
        <v/>
      </c>
      <c r="T16" s="22">
        <f>IF(DAY(DATE(PORTADA!$B$2,9,12))&lt;&gt;12,"",SUMIFS(MOVIMIENTOS!$F:$F,MOVIMIENTOS!$A:$A,DATE(PORTADA!$B$2,9,12),MOVIMIENTOS!$C:$C,T$4))</f>
        <v/>
      </c>
      <c r="U16" s="22">
        <f>IF(DAY(DATE(PORTADA!$B$2,9,12))&lt;&gt;12,"",SUMIFS(MOVIMIENTOS!$F:$F,MOVIMIENTOS!$A:$A,DATE(PORTADA!$B$2,9,12),MOVIMIENTOS!$C:$C,U$4))</f>
        <v/>
      </c>
      <c r="V16" s="22">
        <f>IF(DAY(DATE(PORTADA!$B$2,9,12))&lt;&gt;12,"",SUMIFS(MOVIMIENTOS!$F:$F,MOVIMIENTOS!$A:$A,DATE(PORTADA!$B$2,9,12),MOVIMIENTOS!$C:$C,V$4))</f>
        <v/>
      </c>
      <c r="W16" s="22">
        <f>IF(DAY(DATE(PORTADA!$B$2,9,12))&lt;&gt;12,"",SUMIFS(MOVIMIENTOS!$F:$F,MOVIMIENTOS!$A:$A,DATE(PORTADA!$B$2,9,12),MOVIMIENTOS!$C:$C,W$4))</f>
        <v/>
      </c>
      <c r="X16" s="22">
        <f>IF(DAY(DATE(PORTADA!$B$2,9,12))&lt;&gt;12,"",SUMIFS(MOVIMIENTOS!$F:$F,MOVIMIENTOS!$A:$A,DATE(PORTADA!$B$2,9,12),MOVIMIENTOS!$C:$C,X$4))</f>
        <v/>
      </c>
      <c r="Y16" s="22">
        <f>IF(DAY(DATE(PORTADA!$B$2,9,12))&lt;&gt;12,"",SUMIFS(MOVIMIENTOS!$F:$F,MOVIMIENTOS!$A:$A,DATE(PORTADA!$B$2,9,12),MOVIMIENTOS!$C:$C,Y$4))</f>
        <v/>
      </c>
      <c r="Z16" s="22">
        <f>IF(DAY(DATE(PORTADA!$B$2,9,12))&lt;&gt;12,"",SUMIFS(MOVIMIENTOS!$F:$F,MOVIMIENTOS!$A:$A,DATE(PORTADA!$B$2,9,12),MOVIMIENTOS!$C:$C,Z$4))</f>
        <v/>
      </c>
      <c r="AA16" s="22">
        <f>IF(DAY(DATE(PORTADA!$B$2,9,12))&lt;&gt;12,"",SUM(T16:Z16))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SUMIFS(MOVIMIENTOS!$F:$F,MOVIMIENTOS!$A:$A,"&gt;="&amp;DATE(PORTADA!$B$2,9,1),MOVIMIENTOS!$A:$A,"&lt;="&amp;EOMONTH(DATE(PORTADA!$B$2,9,1),0),MOVIMIENTOS!$D:$D,$B17)</f>
        <v/>
      </c>
      <c r="E17" s="8">
        <f>C17-D17</f>
        <v/>
      </c>
      <c r="F17" s="9">
        <f>IFERROR(D17/C17,"")</f>
        <v/>
      </c>
      <c r="S17" s="21">
        <f>IF(DAY(DATE(PORTADA!$B$2,9,13))&lt;&gt;13,"",13)</f>
        <v/>
      </c>
      <c r="T17" s="22">
        <f>IF(DAY(DATE(PORTADA!$B$2,9,13))&lt;&gt;13,"",SUMIFS(MOVIMIENTOS!$F:$F,MOVIMIENTOS!$A:$A,DATE(PORTADA!$B$2,9,13),MOVIMIENTOS!$C:$C,T$4))</f>
        <v/>
      </c>
      <c r="U17" s="22">
        <f>IF(DAY(DATE(PORTADA!$B$2,9,13))&lt;&gt;13,"",SUMIFS(MOVIMIENTOS!$F:$F,MOVIMIENTOS!$A:$A,DATE(PORTADA!$B$2,9,13),MOVIMIENTOS!$C:$C,U$4))</f>
        <v/>
      </c>
      <c r="V17" s="22">
        <f>IF(DAY(DATE(PORTADA!$B$2,9,13))&lt;&gt;13,"",SUMIFS(MOVIMIENTOS!$F:$F,MOVIMIENTOS!$A:$A,DATE(PORTADA!$B$2,9,13),MOVIMIENTOS!$C:$C,V$4))</f>
        <v/>
      </c>
      <c r="W17" s="22">
        <f>IF(DAY(DATE(PORTADA!$B$2,9,13))&lt;&gt;13,"",SUMIFS(MOVIMIENTOS!$F:$F,MOVIMIENTOS!$A:$A,DATE(PORTADA!$B$2,9,13),MOVIMIENTOS!$C:$C,W$4))</f>
        <v/>
      </c>
      <c r="X17" s="22">
        <f>IF(DAY(DATE(PORTADA!$B$2,9,13))&lt;&gt;13,"",SUMIFS(MOVIMIENTOS!$F:$F,MOVIMIENTOS!$A:$A,DATE(PORTADA!$B$2,9,13),MOVIMIENTOS!$C:$C,X$4))</f>
        <v/>
      </c>
      <c r="Y17" s="22">
        <f>IF(DAY(DATE(PORTADA!$B$2,9,13))&lt;&gt;13,"",SUMIFS(MOVIMIENTOS!$F:$F,MOVIMIENTOS!$A:$A,DATE(PORTADA!$B$2,9,13),MOVIMIENTOS!$C:$C,Y$4))</f>
        <v/>
      </c>
      <c r="Z17" s="22">
        <f>IF(DAY(DATE(PORTADA!$B$2,9,13))&lt;&gt;13,"",SUMIFS(MOVIMIENTOS!$F:$F,MOVIMIENTOS!$A:$A,DATE(PORTADA!$B$2,9,13),MOVIMIENTOS!$C:$C,Z$4))</f>
        <v/>
      </c>
      <c r="AA17" s="22">
        <f>IF(DAY(DATE(PORTADA!$B$2,9,13))&lt;&gt;13,"",SUM(T17:Z17))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SUMIFS(MOVIMIENTOS!$F:$F,MOVIMIENTOS!$A:$A,"&gt;="&amp;DATE(PORTADA!$B$2,9,1),MOVIMIENTOS!$A:$A,"&lt;="&amp;EOMONTH(DATE(PORTADA!$B$2,9,1),0),MOVIMIENTOS!$D:$D,$B18)</f>
        <v/>
      </c>
      <c r="E18" s="8">
        <f>C18-D18</f>
        <v/>
      </c>
      <c r="F18" s="9">
        <f>IFERROR(D18/C18,"")</f>
        <v/>
      </c>
      <c r="S18" s="21">
        <f>IF(DAY(DATE(PORTADA!$B$2,9,14))&lt;&gt;14,"",14)</f>
        <v/>
      </c>
      <c r="T18" s="22">
        <f>IF(DAY(DATE(PORTADA!$B$2,9,14))&lt;&gt;14,"",SUMIFS(MOVIMIENTOS!$F:$F,MOVIMIENTOS!$A:$A,DATE(PORTADA!$B$2,9,14),MOVIMIENTOS!$C:$C,T$4))</f>
        <v/>
      </c>
      <c r="U18" s="22">
        <f>IF(DAY(DATE(PORTADA!$B$2,9,14))&lt;&gt;14,"",SUMIFS(MOVIMIENTOS!$F:$F,MOVIMIENTOS!$A:$A,DATE(PORTADA!$B$2,9,14),MOVIMIENTOS!$C:$C,U$4))</f>
        <v/>
      </c>
      <c r="V18" s="22">
        <f>IF(DAY(DATE(PORTADA!$B$2,9,14))&lt;&gt;14,"",SUMIFS(MOVIMIENTOS!$F:$F,MOVIMIENTOS!$A:$A,DATE(PORTADA!$B$2,9,14),MOVIMIENTOS!$C:$C,V$4))</f>
        <v/>
      </c>
      <c r="W18" s="22">
        <f>IF(DAY(DATE(PORTADA!$B$2,9,14))&lt;&gt;14,"",SUMIFS(MOVIMIENTOS!$F:$F,MOVIMIENTOS!$A:$A,DATE(PORTADA!$B$2,9,14),MOVIMIENTOS!$C:$C,W$4))</f>
        <v/>
      </c>
      <c r="X18" s="22">
        <f>IF(DAY(DATE(PORTADA!$B$2,9,14))&lt;&gt;14,"",SUMIFS(MOVIMIENTOS!$F:$F,MOVIMIENTOS!$A:$A,DATE(PORTADA!$B$2,9,14),MOVIMIENTOS!$C:$C,X$4))</f>
        <v/>
      </c>
      <c r="Y18" s="22">
        <f>IF(DAY(DATE(PORTADA!$B$2,9,14))&lt;&gt;14,"",SUMIFS(MOVIMIENTOS!$F:$F,MOVIMIENTOS!$A:$A,DATE(PORTADA!$B$2,9,14),MOVIMIENTOS!$C:$C,Y$4))</f>
        <v/>
      </c>
      <c r="Z18" s="22">
        <f>IF(DAY(DATE(PORTADA!$B$2,9,14))&lt;&gt;14,"",SUMIFS(MOVIMIENTOS!$F:$F,MOVIMIENTOS!$A:$A,DATE(PORTADA!$B$2,9,14),MOVIMIENTOS!$C:$C,Z$4))</f>
        <v/>
      </c>
      <c r="AA18" s="22">
        <f>IF(DAY(DATE(PORTADA!$B$2,9,14))&lt;&gt;14,"",SUM(T18:Z18))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SUMIFS(MOVIMIENTOS!$F:$F,MOVIMIENTOS!$A:$A,"&gt;="&amp;DATE(PORTADA!$B$2,9,1),MOVIMIENTOS!$A:$A,"&lt;="&amp;EOMONTH(DATE(PORTADA!$B$2,9,1),0),MOVIMIENTOS!$D:$D,$B19)</f>
        <v/>
      </c>
      <c r="E19" s="8">
        <f>C19-D19</f>
        <v/>
      </c>
      <c r="F19" s="9">
        <f>IFERROR(D19/C19,"")</f>
        <v/>
      </c>
      <c r="S19" s="21">
        <f>IF(DAY(DATE(PORTADA!$B$2,9,15))&lt;&gt;15,"",15)</f>
        <v/>
      </c>
      <c r="T19" s="22">
        <f>IF(DAY(DATE(PORTADA!$B$2,9,15))&lt;&gt;15,"",SUMIFS(MOVIMIENTOS!$F:$F,MOVIMIENTOS!$A:$A,DATE(PORTADA!$B$2,9,15),MOVIMIENTOS!$C:$C,T$4))</f>
        <v/>
      </c>
      <c r="U19" s="22">
        <f>IF(DAY(DATE(PORTADA!$B$2,9,15))&lt;&gt;15,"",SUMIFS(MOVIMIENTOS!$F:$F,MOVIMIENTOS!$A:$A,DATE(PORTADA!$B$2,9,15),MOVIMIENTOS!$C:$C,U$4))</f>
        <v/>
      </c>
      <c r="V19" s="22">
        <f>IF(DAY(DATE(PORTADA!$B$2,9,15))&lt;&gt;15,"",SUMIFS(MOVIMIENTOS!$F:$F,MOVIMIENTOS!$A:$A,DATE(PORTADA!$B$2,9,15),MOVIMIENTOS!$C:$C,V$4))</f>
        <v/>
      </c>
      <c r="W19" s="22">
        <f>IF(DAY(DATE(PORTADA!$B$2,9,15))&lt;&gt;15,"",SUMIFS(MOVIMIENTOS!$F:$F,MOVIMIENTOS!$A:$A,DATE(PORTADA!$B$2,9,15),MOVIMIENTOS!$C:$C,W$4))</f>
        <v/>
      </c>
      <c r="X19" s="22">
        <f>IF(DAY(DATE(PORTADA!$B$2,9,15))&lt;&gt;15,"",SUMIFS(MOVIMIENTOS!$F:$F,MOVIMIENTOS!$A:$A,DATE(PORTADA!$B$2,9,15),MOVIMIENTOS!$C:$C,X$4))</f>
        <v/>
      </c>
      <c r="Y19" s="22">
        <f>IF(DAY(DATE(PORTADA!$B$2,9,15))&lt;&gt;15,"",SUMIFS(MOVIMIENTOS!$F:$F,MOVIMIENTOS!$A:$A,DATE(PORTADA!$B$2,9,15),MOVIMIENTOS!$C:$C,Y$4))</f>
        <v/>
      </c>
      <c r="Z19" s="22">
        <f>IF(DAY(DATE(PORTADA!$B$2,9,15))&lt;&gt;15,"",SUMIFS(MOVIMIENTOS!$F:$F,MOVIMIENTOS!$A:$A,DATE(PORTADA!$B$2,9,15),MOVIMIENTOS!$C:$C,Z$4))</f>
        <v/>
      </c>
      <c r="AA19" s="22">
        <f>IF(DAY(DATE(PORTADA!$B$2,9,15))&lt;&gt;15,"",SUM(T19:Z19))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SUMIFS(MOVIMIENTOS!$F:$F,MOVIMIENTOS!$A:$A,"&gt;="&amp;DATE(PORTADA!$B$2,9,1),MOVIMIENTOS!$A:$A,"&lt;="&amp;EOMONTH(DATE(PORTADA!$B$2,9,1),0),MOVIMIENTOS!$D:$D,$B20)</f>
        <v/>
      </c>
      <c r="E20" s="8">
        <f>C20-D20</f>
        <v/>
      </c>
      <c r="F20" s="9">
        <f>IFERROR(D20/C20,"")</f>
        <v/>
      </c>
      <c r="S20" s="21">
        <f>IF(DAY(DATE(PORTADA!$B$2,9,16))&lt;&gt;16,"",16)</f>
        <v/>
      </c>
      <c r="T20" s="22">
        <f>IF(DAY(DATE(PORTADA!$B$2,9,16))&lt;&gt;16,"",SUMIFS(MOVIMIENTOS!$F:$F,MOVIMIENTOS!$A:$A,DATE(PORTADA!$B$2,9,16),MOVIMIENTOS!$C:$C,T$4))</f>
        <v/>
      </c>
      <c r="U20" s="22">
        <f>IF(DAY(DATE(PORTADA!$B$2,9,16))&lt;&gt;16,"",SUMIFS(MOVIMIENTOS!$F:$F,MOVIMIENTOS!$A:$A,DATE(PORTADA!$B$2,9,16),MOVIMIENTOS!$C:$C,U$4))</f>
        <v/>
      </c>
      <c r="V20" s="22">
        <f>IF(DAY(DATE(PORTADA!$B$2,9,16))&lt;&gt;16,"",SUMIFS(MOVIMIENTOS!$F:$F,MOVIMIENTOS!$A:$A,DATE(PORTADA!$B$2,9,16),MOVIMIENTOS!$C:$C,V$4))</f>
        <v/>
      </c>
      <c r="W20" s="22">
        <f>IF(DAY(DATE(PORTADA!$B$2,9,16))&lt;&gt;16,"",SUMIFS(MOVIMIENTOS!$F:$F,MOVIMIENTOS!$A:$A,DATE(PORTADA!$B$2,9,16),MOVIMIENTOS!$C:$C,W$4))</f>
        <v/>
      </c>
      <c r="X20" s="22">
        <f>IF(DAY(DATE(PORTADA!$B$2,9,16))&lt;&gt;16,"",SUMIFS(MOVIMIENTOS!$F:$F,MOVIMIENTOS!$A:$A,DATE(PORTADA!$B$2,9,16),MOVIMIENTOS!$C:$C,X$4))</f>
        <v/>
      </c>
      <c r="Y20" s="22">
        <f>IF(DAY(DATE(PORTADA!$B$2,9,16))&lt;&gt;16,"",SUMIFS(MOVIMIENTOS!$F:$F,MOVIMIENTOS!$A:$A,DATE(PORTADA!$B$2,9,16),MOVIMIENTOS!$C:$C,Y$4))</f>
        <v/>
      </c>
      <c r="Z20" s="22">
        <f>IF(DAY(DATE(PORTADA!$B$2,9,16))&lt;&gt;16,"",SUMIFS(MOVIMIENTOS!$F:$F,MOVIMIENTOS!$A:$A,DATE(PORTADA!$B$2,9,16),MOVIMIENTOS!$C:$C,Z$4))</f>
        <v/>
      </c>
      <c r="AA20" s="22">
        <f>IF(DAY(DATE(PORTADA!$B$2,9,16))&lt;&gt;16,"",SUM(T20:Z20))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SUMIFS(MOVIMIENTOS!$F:$F,MOVIMIENTOS!$A:$A,"&gt;="&amp;DATE(PORTADA!$B$2,9,1),MOVIMIENTOS!$A:$A,"&lt;="&amp;EOMONTH(DATE(PORTADA!$B$2,9,1),0),MOVIMIENTOS!$D:$D,$B21)</f>
        <v/>
      </c>
      <c r="E21" s="8">
        <f>C21-D21</f>
        <v/>
      </c>
      <c r="F21" s="9">
        <f>IFERROR(D21/C21,"")</f>
        <v/>
      </c>
      <c r="S21" s="21">
        <f>IF(DAY(DATE(PORTADA!$B$2,9,17))&lt;&gt;17,"",17)</f>
        <v/>
      </c>
      <c r="T21" s="22">
        <f>IF(DAY(DATE(PORTADA!$B$2,9,17))&lt;&gt;17,"",SUMIFS(MOVIMIENTOS!$F:$F,MOVIMIENTOS!$A:$A,DATE(PORTADA!$B$2,9,17),MOVIMIENTOS!$C:$C,T$4))</f>
        <v/>
      </c>
      <c r="U21" s="22">
        <f>IF(DAY(DATE(PORTADA!$B$2,9,17))&lt;&gt;17,"",SUMIFS(MOVIMIENTOS!$F:$F,MOVIMIENTOS!$A:$A,DATE(PORTADA!$B$2,9,17),MOVIMIENTOS!$C:$C,U$4))</f>
        <v/>
      </c>
      <c r="V21" s="22">
        <f>IF(DAY(DATE(PORTADA!$B$2,9,17))&lt;&gt;17,"",SUMIFS(MOVIMIENTOS!$F:$F,MOVIMIENTOS!$A:$A,DATE(PORTADA!$B$2,9,17),MOVIMIENTOS!$C:$C,V$4))</f>
        <v/>
      </c>
      <c r="W21" s="22">
        <f>IF(DAY(DATE(PORTADA!$B$2,9,17))&lt;&gt;17,"",SUMIFS(MOVIMIENTOS!$F:$F,MOVIMIENTOS!$A:$A,DATE(PORTADA!$B$2,9,17),MOVIMIENTOS!$C:$C,W$4))</f>
        <v/>
      </c>
      <c r="X21" s="22">
        <f>IF(DAY(DATE(PORTADA!$B$2,9,17))&lt;&gt;17,"",SUMIFS(MOVIMIENTOS!$F:$F,MOVIMIENTOS!$A:$A,DATE(PORTADA!$B$2,9,17),MOVIMIENTOS!$C:$C,X$4))</f>
        <v/>
      </c>
      <c r="Y21" s="22">
        <f>IF(DAY(DATE(PORTADA!$B$2,9,17))&lt;&gt;17,"",SUMIFS(MOVIMIENTOS!$F:$F,MOVIMIENTOS!$A:$A,DATE(PORTADA!$B$2,9,17),MOVIMIENTOS!$C:$C,Y$4))</f>
        <v/>
      </c>
      <c r="Z21" s="22">
        <f>IF(DAY(DATE(PORTADA!$B$2,9,17))&lt;&gt;17,"",SUMIFS(MOVIMIENTOS!$F:$F,MOVIMIENTOS!$A:$A,DATE(PORTADA!$B$2,9,17),MOVIMIENTOS!$C:$C,Z$4))</f>
        <v/>
      </c>
      <c r="AA21" s="22">
        <f>IF(DAY(DATE(PORTADA!$B$2,9,17))&lt;&gt;17,"",SUM(T21:Z21))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SUMIFS(MOVIMIENTOS!$F:$F,MOVIMIENTOS!$A:$A,"&gt;="&amp;DATE(PORTADA!$B$2,9,1),MOVIMIENTOS!$A:$A,"&lt;="&amp;EOMONTH(DATE(PORTADA!$B$2,9,1),0),MOVIMIENTOS!$D:$D,$B22)</f>
        <v/>
      </c>
      <c r="E22" s="8">
        <f>C22-D22</f>
        <v/>
      </c>
      <c r="F22" s="9">
        <f>IFERROR(D22/C22,"")</f>
        <v/>
      </c>
      <c r="S22" s="21">
        <f>IF(DAY(DATE(PORTADA!$B$2,9,18))&lt;&gt;18,"",18)</f>
        <v/>
      </c>
      <c r="T22" s="22">
        <f>IF(DAY(DATE(PORTADA!$B$2,9,18))&lt;&gt;18,"",SUMIFS(MOVIMIENTOS!$F:$F,MOVIMIENTOS!$A:$A,DATE(PORTADA!$B$2,9,18),MOVIMIENTOS!$C:$C,T$4))</f>
        <v/>
      </c>
      <c r="U22" s="22">
        <f>IF(DAY(DATE(PORTADA!$B$2,9,18))&lt;&gt;18,"",SUMIFS(MOVIMIENTOS!$F:$F,MOVIMIENTOS!$A:$A,DATE(PORTADA!$B$2,9,18),MOVIMIENTOS!$C:$C,U$4))</f>
        <v/>
      </c>
      <c r="V22" s="22">
        <f>IF(DAY(DATE(PORTADA!$B$2,9,18))&lt;&gt;18,"",SUMIFS(MOVIMIENTOS!$F:$F,MOVIMIENTOS!$A:$A,DATE(PORTADA!$B$2,9,18),MOVIMIENTOS!$C:$C,V$4))</f>
        <v/>
      </c>
      <c r="W22" s="22">
        <f>IF(DAY(DATE(PORTADA!$B$2,9,18))&lt;&gt;18,"",SUMIFS(MOVIMIENTOS!$F:$F,MOVIMIENTOS!$A:$A,DATE(PORTADA!$B$2,9,18),MOVIMIENTOS!$C:$C,W$4))</f>
        <v/>
      </c>
      <c r="X22" s="22">
        <f>IF(DAY(DATE(PORTADA!$B$2,9,18))&lt;&gt;18,"",SUMIFS(MOVIMIENTOS!$F:$F,MOVIMIENTOS!$A:$A,DATE(PORTADA!$B$2,9,18),MOVIMIENTOS!$C:$C,X$4))</f>
        <v/>
      </c>
      <c r="Y22" s="22">
        <f>IF(DAY(DATE(PORTADA!$B$2,9,18))&lt;&gt;18,"",SUMIFS(MOVIMIENTOS!$F:$F,MOVIMIENTOS!$A:$A,DATE(PORTADA!$B$2,9,18),MOVIMIENTOS!$C:$C,Y$4))</f>
        <v/>
      </c>
      <c r="Z22" s="22">
        <f>IF(DAY(DATE(PORTADA!$B$2,9,18))&lt;&gt;18,"",SUMIFS(MOVIMIENTOS!$F:$F,MOVIMIENTOS!$A:$A,DATE(PORTADA!$B$2,9,18),MOVIMIENTOS!$C:$C,Z$4))</f>
        <v/>
      </c>
      <c r="AA22" s="22">
        <f>IF(DAY(DATE(PORTADA!$B$2,9,18))&lt;&gt;18,"",SUM(T22:Z22))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SUMIFS(MOVIMIENTOS!$F:$F,MOVIMIENTOS!$A:$A,"&gt;="&amp;DATE(PORTADA!$B$2,9,1),MOVIMIENTOS!$A:$A,"&lt;="&amp;EOMONTH(DATE(PORTADA!$B$2,9,1),0),MOVIMIENTOS!$D:$D,$B23)</f>
        <v/>
      </c>
      <c r="E23" s="8">
        <f>C23-D23</f>
        <v/>
      </c>
      <c r="F23" s="9">
        <f>IFERROR(D23/C23,"")</f>
        <v/>
      </c>
      <c r="S23" s="21">
        <f>IF(DAY(DATE(PORTADA!$B$2,9,19))&lt;&gt;19,"",19)</f>
        <v/>
      </c>
      <c r="T23" s="22">
        <f>IF(DAY(DATE(PORTADA!$B$2,9,19))&lt;&gt;19,"",SUMIFS(MOVIMIENTOS!$F:$F,MOVIMIENTOS!$A:$A,DATE(PORTADA!$B$2,9,19),MOVIMIENTOS!$C:$C,T$4))</f>
        <v/>
      </c>
      <c r="U23" s="22">
        <f>IF(DAY(DATE(PORTADA!$B$2,9,19))&lt;&gt;19,"",SUMIFS(MOVIMIENTOS!$F:$F,MOVIMIENTOS!$A:$A,DATE(PORTADA!$B$2,9,19),MOVIMIENTOS!$C:$C,U$4))</f>
        <v/>
      </c>
      <c r="V23" s="22">
        <f>IF(DAY(DATE(PORTADA!$B$2,9,19))&lt;&gt;19,"",SUMIFS(MOVIMIENTOS!$F:$F,MOVIMIENTOS!$A:$A,DATE(PORTADA!$B$2,9,19),MOVIMIENTOS!$C:$C,V$4))</f>
        <v/>
      </c>
      <c r="W23" s="22">
        <f>IF(DAY(DATE(PORTADA!$B$2,9,19))&lt;&gt;19,"",SUMIFS(MOVIMIENTOS!$F:$F,MOVIMIENTOS!$A:$A,DATE(PORTADA!$B$2,9,19),MOVIMIENTOS!$C:$C,W$4))</f>
        <v/>
      </c>
      <c r="X23" s="22">
        <f>IF(DAY(DATE(PORTADA!$B$2,9,19))&lt;&gt;19,"",SUMIFS(MOVIMIENTOS!$F:$F,MOVIMIENTOS!$A:$A,DATE(PORTADA!$B$2,9,19),MOVIMIENTOS!$C:$C,X$4))</f>
        <v/>
      </c>
      <c r="Y23" s="22">
        <f>IF(DAY(DATE(PORTADA!$B$2,9,19))&lt;&gt;19,"",SUMIFS(MOVIMIENTOS!$F:$F,MOVIMIENTOS!$A:$A,DATE(PORTADA!$B$2,9,19),MOVIMIENTOS!$C:$C,Y$4))</f>
        <v/>
      </c>
      <c r="Z23" s="22">
        <f>IF(DAY(DATE(PORTADA!$B$2,9,19))&lt;&gt;19,"",SUMIFS(MOVIMIENTOS!$F:$F,MOVIMIENTOS!$A:$A,DATE(PORTADA!$B$2,9,19),MOVIMIENTOS!$C:$C,Z$4))</f>
        <v/>
      </c>
      <c r="AA23" s="22">
        <f>IF(DAY(DATE(PORTADA!$B$2,9,19))&lt;&gt;19,"",SUM(T23:Z23))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SUMIFS(MOVIMIENTOS!$F:$F,MOVIMIENTOS!$A:$A,"&gt;="&amp;DATE(PORTADA!$B$2,9,1),MOVIMIENTOS!$A:$A,"&lt;="&amp;EOMONTH(DATE(PORTADA!$B$2,9,1),0),MOVIMIENTOS!$D:$D,$B24)</f>
        <v/>
      </c>
      <c r="E24" s="8">
        <f>C24-D24</f>
        <v/>
      </c>
      <c r="F24" s="9">
        <f>IFERROR(D24/C24,"")</f>
        <v/>
      </c>
      <c r="S24" s="21">
        <f>IF(DAY(DATE(PORTADA!$B$2,9,20))&lt;&gt;20,"",20)</f>
        <v/>
      </c>
      <c r="T24" s="22">
        <f>IF(DAY(DATE(PORTADA!$B$2,9,20))&lt;&gt;20,"",SUMIFS(MOVIMIENTOS!$F:$F,MOVIMIENTOS!$A:$A,DATE(PORTADA!$B$2,9,20),MOVIMIENTOS!$C:$C,T$4))</f>
        <v/>
      </c>
      <c r="U24" s="22">
        <f>IF(DAY(DATE(PORTADA!$B$2,9,20))&lt;&gt;20,"",SUMIFS(MOVIMIENTOS!$F:$F,MOVIMIENTOS!$A:$A,DATE(PORTADA!$B$2,9,20),MOVIMIENTOS!$C:$C,U$4))</f>
        <v/>
      </c>
      <c r="V24" s="22">
        <f>IF(DAY(DATE(PORTADA!$B$2,9,20))&lt;&gt;20,"",SUMIFS(MOVIMIENTOS!$F:$F,MOVIMIENTOS!$A:$A,DATE(PORTADA!$B$2,9,20),MOVIMIENTOS!$C:$C,V$4))</f>
        <v/>
      </c>
      <c r="W24" s="22">
        <f>IF(DAY(DATE(PORTADA!$B$2,9,20))&lt;&gt;20,"",SUMIFS(MOVIMIENTOS!$F:$F,MOVIMIENTOS!$A:$A,DATE(PORTADA!$B$2,9,20),MOVIMIENTOS!$C:$C,W$4))</f>
        <v/>
      </c>
      <c r="X24" s="22">
        <f>IF(DAY(DATE(PORTADA!$B$2,9,20))&lt;&gt;20,"",SUMIFS(MOVIMIENTOS!$F:$F,MOVIMIENTOS!$A:$A,DATE(PORTADA!$B$2,9,20),MOVIMIENTOS!$C:$C,X$4))</f>
        <v/>
      </c>
      <c r="Y24" s="22">
        <f>IF(DAY(DATE(PORTADA!$B$2,9,20))&lt;&gt;20,"",SUMIFS(MOVIMIENTOS!$F:$F,MOVIMIENTOS!$A:$A,DATE(PORTADA!$B$2,9,20),MOVIMIENTOS!$C:$C,Y$4))</f>
        <v/>
      </c>
      <c r="Z24" s="22">
        <f>IF(DAY(DATE(PORTADA!$B$2,9,20))&lt;&gt;20,"",SUMIFS(MOVIMIENTOS!$F:$F,MOVIMIENTOS!$A:$A,DATE(PORTADA!$B$2,9,20),MOVIMIENTOS!$C:$C,Z$4))</f>
        <v/>
      </c>
      <c r="AA24" s="22">
        <f>IF(DAY(DATE(PORTADA!$B$2,9,20))&lt;&gt;20,"",SUM(T24:Z24))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SUMIFS(MOVIMIENTOS!$F:$F,MOVIMIENTOS!$A:$A,"&gt;="&amp;DATE(PORTADA!$B$2,9,1),MOVIMIENTOS!$A:$A,"&lt;="&amp;EOMONTH(DATE(PORTADA!$B$2,9,1),0),MOVIMIENTOS!$D:$D,$B25)</f>
        <v/>
      </c>
      <c r="E25" s="8">
        <f>C25-D25</f>
        <v/>
      </c>
      <c r="F25" s="9">
        <f>IFERROR(D25/C25,"")</f>
        <v/>
      </c>
      <c r="S25" s="21">
        <f>IF(DAY(DATE(PORTADA!$B$2,9,21))&lt;&gt;21,"",21)</f>
        <v/>
      </c>
      <c r="T25" s="22">
        <f>IF(DAY(DATE(PORTADA!$B$2,9,21))&lt;&gt;21,"",SUMIFS(MOVIMIENTOS!$F:$F,MOVIMIENTOS!$A:$A,DATE(PORTADA!$B$2,9,21),MOVIMIENTOS!$C:$C,T$4))</f>
        <v/>
      </c>
      <c r="U25" s="22">
        <f>IF(DAY(DATE(PORTADA!$B$2,9,21))&lt;&gt;21,"",SUMIFS(MOVIMIENTOS!$F:$F,MOVIMIENTOS!$A:$A,DATE(PORTADA!$B$2,9,21),MOVIMIENTOS!$C:$C,U$4))</f>
        <v/>
      </c>
      <c r="V25" s="22">
        <f>IF(DAY(DATE(PORTADA!$B$2,9,21))&lt;&gt;21,"",SUMIFS(MOVIMIENTOS!$F:$F,MOVIMIENTOS!$A:$A,DATE(PORTADA!$B$2,9,21),MOVIMIENTOS!$C:$C,V$4))</f>
        <v/>
      </c>
      <c r="W25" s="22">
        <f>IF(DAY(DATE(PORTADA!$B$2,9,21))&lt;&gt;21,"",SUMIFS(MOVIMIENTOS!$F:$F,MOVIMIENTOS!$A:$A,DATE(PORTADA!$B$2,9,21),MOVIMIENTOS!$C:$C,W$4))</f>
        <v/>
      </c>
      <c r="X25" s="22">
        <f>IF(DAY(DATE(PORTADA!$B$2,9,21))&lt;&gt;21,"",SUMIFS(MOVIMIENTOS!$F:$F,MOVIMIENTOS!$A:$A,DATE(PORTADA!$B$2,9,21),MOVIMIENTOS!$C:$C,X$4))</f>
        <v/>
      </c>
      <c r="Y25" s="22">
        <f>IF(DAY(DATE(PORTADA!$B$2,9,21))&lt;&gt;21,"",SUMIFS(MOVIMIENTOS!$F:$F,MOVIMIENTOS!$A:$A,DATE(PORTADA!$B$2,9,21),MOVIMIENTOS!$C:$C,Y$4))</f>
        <v/>
      </c>
      <c r="Z25" s="22">
        <f>IF(DAY(DATE(PORTADA!$B$2,9,21))&lt;&gt;21,"",SUMIFS(MOVIMIENTOS!$F:$F,MOVIMIENTOS!$A:$A,DATE(PORTADA!$B$2,9,21),MOVIMIENTOS!$C:$C,Z$4))</f>
        <v/>
      </c>
      <c r="AA25" s="22">
        <f>IF(DAY(DATE(PORTADA!$B$2,9,21))&lt;&gt;21,"",SUM(T25:Z25))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SUMIFS(MOVIMIENTOS!$F:$F,MOVIMIENTOS!$A:$A,"&gt;="&amp;DATE(PORTADA!$B$2,9,1),MOVIMIENTOS!$A:$A,"&lt;="&amp;EOMONTH(DATE(PORTADA!$B$2,9,1),0),MOVIMIENTOS!$D:$D,$B26)</f>
        <v/>
      </c>
      <c r="E26" s="8">
        <f>C26-D26</f>
        <v/>
      </c>
      <c r="F26" s="9">
        <f>IFERROR(D26/C26,"")</f>
        <v/>
      </c>
      <c r="S26" s="21">
        <f>IF(DAY(DATE(PORTADA!$B$2,9,22))&lt;&gt;22,"",22)</f>
        <v/>
      </c>
      <c r="T26" s="22">
        <f>IF(DAY(DATE(PORTADA!$B$2,9,22))&lt;&gt;22,"",SUMIFS(MOVIMIENTOS!$F:$F,MOVIMIENTOS!$A:$A,DATE(PORTADA!$B$2,9,22),MOVIMIENTOS!$C:$C,T$4))</f>
        <v/>
      </c>
      <c r="U26" s="22">
        <f>IF(DAY(DATE(PORTADA!$B$2,9,22))&lt;&gt;22,"",SUMIFS(MOVIMIENTOS!$F:$F,MOVIMIENTOS!$A:$A,DATE(PORTADA!$B$2,9,22),MOVIMIENTOS!$C:$C,U$4))</f>
        <v/>
      </c>
      <c r="V26" s="22">
        <f>IF(DAY(DATE(PORTADA!$B$2,9,22))&lt;&gt;22,"",SUMIFS(MOVIMIENTOS!$F:$F,MOVIMIENTOS!$A:$A,DATE(PORTADA!$B$2,9,22),MOVIMIENTOS!$C:$C,V$4))</f>
        <v/>
      </c>
      <c r="W26" s="22">
        <f>IF(DAY(DATE(PORTADA!$B$2,9,22))&lt;&gt;22,"",SUMIFS(MOVIMIENTOS!$F:$F,MOVIMIENTOS!$A:$A,DATE(PORTADA!$B$2,9,22),MOVIMIENTOS!$C:$C,W$4))</f>
        <v/>
      </c>
      <c r="X26" s="22">
        <f>IF(DAY(DATE(PORTADA!$B$2,9,22))&lt;&gt;22,"",SUMIFS(MOVIMIENTOS!$F:$F,MOVIMIENTOS!$A:$A,DATE(PORTADA!$B$2,9,22),MOVIMIENTOS!$C:$C,X$4))</f>
        <v/>
      </c>
      <c r="Y26" s="22">
        <f>IF(DAY(DATE(PORTADA!$B$2,9,22))&lt;&gt;22,"",SUMIFS(MOVIMIENTOS!$F:$F,MOVIMIENTOS!$A:$A,DATE(PORTADA!$B$2,9,22),MOVIMIENTOS!$C:$C,Y$4))</f>
        <v/>
      </c>
      <c r="Z26" s="22">
        <f>IF(DAY(DATE(PORTADA!$B$2,9,22))&lt;&gt;22,"",SUMIFS(MOVIMIENTOS!$F:$F,MOVIMIENTOS!$A:$A,DATE(PORTADA!$B$2,9,22),MOVIMIENTOS!$C:$C,Z$4))</f>
        <v/>
      </c>
      <c r="AA26" s="22">
        <f>IF(DAY(DATE(PORTADA!$B$2,9,22))&lt;&gt;22,"",SUM(T26:Z26))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SUMIFS(MOVIMIENTOS!$F:$F,MOVIMIENTOS!$A:$A,"&gt;="&amp;DATE(PORTADA!$B$2,9,1),MOVIMIENTOS!$A:$A,"&lt;="&amp;EOMONTH(DATE(PORTADA!$B$2,9,1),0),MOVIMIENTOS!$D:$D,$B27)</f>
        <v/>
      </c>
      <c r="E27" s="8">
        <f>C27-D27</f>
        <v/>
      </c>
      <c r="F27" s="9">
        <f>IFERROR(D27/C27,"")</f>
        <v/>
      </c>
      <c r="S27" s="21">
        <f>IF(DAY(DATE(PORTADA!$B$2,9,23))&lt;&gt;23,"",23)</f>
        <v/>
      </c>
      <c r="T27" s="22">
        <f>IF(DAY(DATE(PORTADA!$B$2,9,23))&lt;&gt;23,"",SUMIFS(MOVIMIENTOS!$F:$F,MOVIMIENTOS!$A:$A,DATE(PORTADA!$B$2,9,23),MOVIMIENTOS!$C:$C,T$4))</f>
        <v/>
      </c>
      <c r="U27" s="22">
        <f>IF(DAY(DATE(PORTADA!$B$2,9,23))&lt;&gt;23,"",SUMIFS(MOVIMIENTOS!$F:$F,MOVIMIENTOS!$A:$A,DATE(PORTADA!$B$2,9,23),MOVIMIENTOS!$C:$C,U$4))</f>
        <v/>
      </c>
      <c r="V27" s="22">
        <f>IF(DAY(DATE(PORTADA!$B$2,9,23))&lt;&gt;23,"",SUMIFS(MOVIMIENTOS!$F:$F,MOVIMIENTOS!$A:$A,DATE(PORTADA!$B$2,9,23),MOVIMIENTOS!$C:$C,V$4))</f>
        <v/>
      </c>
      <c r="W27" s="22">
        <f>IF(DAY(DATE(PORTADA!$B$2,9,23))&lt;&gt;23,"",SUMIFS(MOVIMIENTOS!$F:$F,MOVIMIENTOS!$A:$A,DATE(PORTADA!$B$2,9,23),MOVIMIENTOS!$C:$C,W$4))</f>
        <v/>
      </c>
      <c r="X27" s="22">
        <f>IF(DAY(DATE(PORTADA!$B$2,9,23))&lt;&gt;23,"",SUMIFS(MOVIMIENTOS!$F:$F,MOVIMIENTOS!$A:$A,DATE(PORTADA!$B$2,9,23),MOVIMIENTOS!$C:$C,X$4))</f>
        <v/>
      </c>
      <c r="Y27" s="22">
        <f>IF(DAY(DATE(PORTADA!$B$2,9,23))&lt;&gt;23,"",SUMIFS(MOVIMIENTOS!$F:$F,MOVIMIENTOS!$A:$A,DATE(PORTADA!$B$2,9,23),MOVIMIENTOS!$C:$C,Y$4))</f>
        <v/>
      </c>
      <c r="Z27" s="22">
        <f>IF(DAY(DATE(PORTADA!$B$2,9,23))&lt;&gt;23,"",SUMIFS(MOVIMIENTOS!$F:$F,MOVIMIENTOS!$A:$A,DATE(PORTADA!$B$2,9,23),MOVIMIENTOS!$C:$C,Z$4))</f>
        <v/>
      </c>
      <c r="AA27" s="22">
        <f>IF(DAY(DATE(PORTADA!$B$2,9,23))&lt;&gt;23,"",SUM(T27:Z27))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SUMIFS(MOVIMIENTOS!$F:$F,MOVIMIENTOS!$A:$A,"&gt;="&amp;DATE(PORTADA!$B$2,9,1),MOVIMIENTOS!$A:$A,"&lt;="&amp;EOMONTH(DATE(PORTADA!$B$2,9,1),0),MOVIMIENTOS!$D:$D,$B28)</f>
        <v/>
      </c>
      <c r="E28" s="8">
        <f>C28-D28</f>
        <v/>
      </c>
      <c r="F28" s="9">
        <f>IFERROR(D28/C28,"")</f>
        <v/>
      </c>
      <c r="S28" s="21">
        <f>IF(DAY(DATE(PORTADA!$B$2,9,24))&lt;&gt;24,"",24)</f>
        <v/>
      </c>
      <c r="T28" s="22">
        <f>IF(DAY(DATE(PORTADA!$B$2,9,24))&lt;&gt;24,"",SUMIFS(MOVIMIENTOS!$F:$F,MOVIMIENTOS!$A:$A,DATE(PORTADA!$B$2,9,24),MOVIMIENTOS!$C:$C,T$4))</f>
        <v/>
      </c>
      <c r="U28" s="22">
        <f>IF(DAY(DATE(PORTADA!$B$2,9,24))&lt;&gt;24,"",SUMIFS(MOVIMIENTOS!$F:$F,MOVIMIENTOS!$A:$A,DATE(PORTADA!$B$2,9,24),MOVIMIENTOS!$C:$C,U$4))</f>
        <v/>
      </c>
      <c r="V28" s="22">
        <f>IF(DAY(DATE(PORTADA!$B$2,9,24))&lt;&gt;24,"",SUMIFS(MOVIMIENTOS!$F:$F,MOVIMIENTOS!$A:$A,DATE(PORTADA!$B$2,9,24),MOVIMIENTOS!$C:$C,V$4))</f>
        <v/>
      </c>
      <c r="W28" s="22">
        <f>IF(DAY(DATE(PORTADA!$B$2,9,24))&lt;&gt;24,"",SUMIFS(MOVIMIENTOS!$F:$F,MOVIMIENTOS!$A:$A,DATE(PORTADA!$B$2,9,24),MOVIMIENTOS!$C:$C,W$4))</f>
        <v/>
      </c>
      <c r="X28" s="22">
        <f>IF(DAY(DATE(PORTADA!$B$2,9,24))&lt;&gt;24,"",SUMIFS(MOVIMIENTOS!$F:$F,MOVIMIENTOS!$A:$A,DATE(PORTADA!$B$2,9,24),MOVIMIENTOS!$C:$C,X$4))</f>
        <v/>
      </c>
      <c r="Y28" s="22">
        <f>IF(DAY(DATE(PORTADA!$B$2,9,24))&lt;&gt;24,"",SUMIFS(MOVIMIENTOS!$F:$F,MOVIMIENTOS!$A:$A,DATE(PORTADA!$B$2,9,24),MOVIMIENTOS!$C:$C,Y$4))</f>
        <v/>
      </c>
      <c r="Z28" s="22">
        <f>IF(DAY(DATE(PORTADA!$B$2,9,24))&lt;&gt;24,"",SUMIFS(MOVIMIENTOS!$F:$F,MOVIMIENTOS!$A:$A,DATE(PORTADA!$B$2,9,24),MOVIMIENTOS!$C:$C,Z$4))</f>
        <v/>
      </c>
      <c r="AA28" s="22">
        <f>IF(DAY(DATE(PORTADA!$B$2,9,24))&lt;&gt;24,"",SUM(T28:Z28))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SUMIFS(MOVIMIENTOS!$F:$F,MOVIMIENTOS!$A:$A,"&gt;="&amp;DATE(PORTADA!$B$2,9,1),MOVIMIENTOS!$A:$A,"&lt;="&amp;EOMONTH(DATE(PORTADA!$B$2,9,1),0),MOVIMIENTOS!$D:$D,$B29)</f>
        <v/>
      </c>
      <c r="E29" s="8">
        <f>C29-D29</f>
        <v/>
      </c>
      <c r="F29" s="9">
        <f>IFERROR(D29/C29,"")</f>
        <v/>
      </c>
      <c r="S29" s="21">
        <f>IF(DAY(DATE(PORTADA!$B$2,9,25))&lt;&gt;25,"",25)</f>
        <v/>
      </c>
      <c r="T29" s="22">
        <f>IF(DAY(DATE(PORTADA!$B$2,9,25))&lt;&gt;25,"",SUMIFS(MOVIMIENTOS!$F:$F,MOVIMIENTOS!$A:$A,DATE(PORTADA!$B$2,9,25),MOVIMIENTOS!$C:$C,T$4))</f>
        <v/>
      </c>
      <c r="U29" s="22">
        <f>IF(DAY(DATE(PORTADA!$B$2,9,25))&lt;&gt;25,"",SUMIFS(MOVIMIENTOS!$F:$F,MOVIMIENTOS!$A:$A,DATE(PORTADA!$B$2,9,25),MOVIMIENTOS!$C:$C,U$4))</f>
        <v/>
      </c>
      <c r="V29" s="22">
        <f>IF(DAY(DATE(PORTADA!$B$2,9,25))&lt;&gt;25,"",SUMIFS(MOVIMIENTOS!$F:$F,MOVIMIENTOS!$A:$A,DATE(PORTADA!$B$2,9,25),MOVIMIENTOS!$C:$C,V$4))</f>
        <v/>
      </c>
      <c r="W29" s="22">
        <f>IF(DAY(DATE(PORTADA!$B$2,9,25))&lt;&gt;25,"",SUMIFS(MOVIMIENTOS!$F:$F,MOVIMIENTOS!$A:$A,DATE(PORTADA!$B$2,9,25),MOVIMIENTOS!$C:$C,W$4))</f>
        <v/>
      </c>
      <c r="X29" s="22">
        <f>IF(DAY(DATE(PORTADA!$B$2,9,25))&lt;&gt;25,"",SUMIFS(MOVIMIENTOS!$F:$F,MOVIMIENTOS!$A:$A,DATE(PORTADA!$B$2,9,25),MOVIMIENTOS!$C:$C,X$4))</f>
        <v/>
      </c>
      <c r="Y29" s="22">
        <f>IF(DAY(DATE(PORTADA!$B$2,9,25))&lt;&gt;25,"",SUMIFS(MOVIMIENTOS!$F:$F,MOVIMIENTOS!$A:$A,DATE(PORTADA!$B$2,9,25),MOVIMIENTOS!$C:$C,Y$4))</f>
        <v/>
      </c>
      <c r="Z29" s="22">
        <f>IF(DAY(DATE(PORTADA!$B$2,9,25))&lt;&gt;25,"",SUMIFS(MOVIMIENTOS!$F:$F,MOVIMIENTOS!$A:$A,DATE(PORTADA!$B$2,9,25),MOVIMIENTOS!$C:$C,Z$4))</f>
        <v/>
      </c>
      <c r="AA29" s="22">
        <f>IF(DAY(DATE(PORTADA!$B$2,9,25))&lt;&gt;25,"",SUM(T29:Z29))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SUMIFS(MOVIMIENTOS!$F:$F,MOVIMIENTOS!$A:$A,"&gt;="&amp;DATE(PORTADA!$B$2,9,1),MOVIMIENTOS!$A:$A,"&lt;="&amp;EOMONTH(DATE(PORTADA!$B$2,9,1),0),MOVIMIENTOS!$D:$D,$B30)</f>
        <v/>
      </c>
      <c r="E30" s="8">
        <f>C30-D30</f>
        <v/>
      </c>
      <c r="F30" s="9">
        <f>IFERROR(D30/C30,"")</f>
        <v/>
      </c>
      <c r="S30" s="21">
        <f>IF(DAY(DATE(PORTADA!$B$2,9,26))&lt;&gt;26,"",26)</f>
        <v/>
      </c>
      <c r="T30" s="22">
        <f>IF(DAY(DATE(PORTADA!$B$2,9,26))&lt;&gt;26,"",SUMIFS(MOVIMIENTOS!$F:$F,MOVIMIENTOS!$A:$A,DATE(PORTADA!$B$2,9,26),MOVIMIENTOS!$C:$C,T$4))</f>
        <v/>
      </c>
      <c r="U30" s="22">
        <f>IF(DAY(DATE(PORTADA!$B$2,9,26))&lt;&gt;26,"",SUMIFS(MOVIMIENTOS!$F:$F,MOVIMIENTOS!$A:$A,DATE(PORTADA!$B$2,9,26),MOVIMIENTOS!$C:$C,U$4))</f>
        <v/>
      </c>
      <c r="V30" s="22">
        <f>IF(DAY(DATE(PORTADA!$B$2,9,26))&lt;&gt;26,"",SUMIFS(MOVIMIENTOS!$F:$F,MOVIMIENTOS!$A:$A,DATE(PORTADA!$B$2,9,26),MOVIMIENTOS!$C:$C,V$4))</f>
        <v/>
      </c>
      <c r="W30" s="22">
        <f>IF(DAY(DATE(PORTADA!$B$2,9,26))&lt;&gt;26,"",SUMIFS(MOVIMIENTOS!$F:$F,MOVIMIENTOS!$A:$A,DATE(PORTADA!$B$2,9,26),MOVIMIENTOS!$C:$C,W$4))</f>
        <v/>
      </c>
      <c r="X30" s="22">
        <f>IF(DAY(DATE(PORTADA!$B$2,9,26))&lt;&gt;26,"",SUMIFS(MOVIMIENTOS!$F:$F,MOVIMIENTOS!$A:$A,DATE(PORTADA!$B$2,9,26),MOVIMIENTOS!$C:$C,X$4))</f>
        <v/>
      </c>
      <c r="Y30" s="22">
        <f>IF(DAY(DATE(PORTADA!$B$2,9,26))&lt;&gt;26,"",SUMIFS(MOVIMIENTOS!$F:$F,MOVIMIENTOS!$A:$A,DATE(PORTADA!$B$2,9,26),MOVIMIENTOS!$C:$C,Y$4))</f>
        <v/>
      </c>
      <c r="Z30" s="22">
        <f>IF(DAY(DATE(PORTADA!$B$2,9,26))&lt;&gt;26,"",SUMIFS(MOVIMIENTOS!$F:$F,MOVIMIENTOS!$A:$A,DATE(PORTADA!$B$2,9,26),MOVIMIENTOS!$C:$C,Z$4))</f>
        <v/>
      </c>
      <c r="AA30" s="22">
        <f>IF(DAY(DATE(PORTADA!$B$2,9,26))&lt;&gt;26,"",SUM(T30:Z30))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SUMIFS(MOVIMIENTOS!$F:$F,MOVIMIENTOS!$A:$A,"&gt;="&amp;DATE(PORTADA!$B$2,9,1),MOVIMIENTOS!$A:$A,"&lt;="&amp;EOMONTH(DATE(PORTADA!$B$2,9,1),0),MOVIMIENTOS!$D:$D,$B31)</f>
        <v/>
      </c>
      <c r="E31" s="8">
        <f>C31-D31</f>
        <v/>
      </c>
      <c r="F31" s="9">
        <f>IFERROR(D31/C31,"")</f>
        <v/>
      </c>
      <c r="S31" s="21">
        <f>IF(DAY(DATE(PORTADA!$B$2,9,27))&lt;&gt;27,"",27)</f>
        <v/>
      </c>
      <c r="T31" s="22">
        <f>IF(DAY(DATE(PORTADA!$B$2,9,27))&lt;&gt;27,"",SUMIFS(MOVIMIENTOS!$F:$F,MOVIMIENTOS!$A:$A,DATE(PORTADA!$B$2,9,27),MOVIMIENTOS!$C:$C,T$4))</f>
        <v/>
      </c>
      <c r="U31" s="22">
        <f>IF(DAY(DATE(PORTADA!$B$2,9,27))&lt;&gt;27,"",SUMIFS(MOVIMIENTOS!$F:$F,MOVIMIENTOS!$A:$A,DATE(PORTADA!$B$2,9,27),MOVIMIENTOS!$C:$C,U$4))</f>
        <v/>
      </c>
      <c r="V31" s="22">
        <f>IF(DAY(DATE(PORTADA!$B$2,9,27))&lt;&gt;27,"",SUMIFS(MOVIMIENTOS!$F:$F,MOVIMIENTOS!$A:$A,DATE(PORTADA!$B$2,9,27),MOVIMIENTOS!$C:$C,V$4))</f>
        <v/>
      </c>
      <c r="W31" s="22">
        <f>IF(DAY(DATE(PORTADA!$B$2,9,27))&lt;&gt;27,"",SUMIFS(MOVIMIENTOS!$F:$F,MOVIMIENTOS!$A:$A,DATE(PORTADA!$B$2,9,27),MOVIMIENTOS!$C:$C,W$4))</f>
        <v/>
      </c>
      <c r="X31" s="22">
        <f>IF(DAY(DATE(PORTADA!$B$2,9,27))&lt;&gt;27,"",SUMIFS(MOVIMIENTOS!$F:$F,MOVIMIENTOS!$A:$A,DATE(PORTADA!$B$2,9,27),MOVIMIENTOS!$C:$C,X$4))</f>
        <v/>
      </c>
      <c r="Y31" s="22">
        <f>IF(DAY(DATE(PORTADA!$B$2,9,27))&lt;&gt;27,"",SUMIFS(MOVIMIENTOS!$F:$F,MOVIMIENTOS!$A:$A,DATE(PORTADA!$B$2,9,27),MOVIMIENTOS!$C:$C,Y$4))</f>
        <v/>
      </c>
      <c r="Z31" s="22">
        <f>IF(DAY(DATE(PORTADA!$B$2,9,27))&lt;&gt;27,"",SUMIFS(MOVIMIENTOS!$F:$F,MOVIMIENTOS!$A:$A,DATE(PORTADA!$B$2,9,27),MOVIMIENTOS!$C:$C,Z$4))</f>
        <v/>
      </c>
      <c r="AA31" s="22">
        <f>IF(DAY(DATE(PORTADA!$B$2,9,27))&lt;&gt;27,"",SUM(T31:Z31))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SUMIFS(MOVIMIENTOS!$F:$F,MOVIMIENTOS!$A:$A,"&gt;="&amp;DATE(PORTADA!$B$2,9,1),MOVIMIENTOS!$A:$A,"&lt;="&amp;EOMONTH(DATE(PORTADA!$B$2,9,1),0),MOVIMIENTOS!$D:$D,$B32)</f>
        <v/>
      </c>
      <c r="E32" s="8">
        <f>C32-D32</f>
        <v/>
      </c>
      <c r="F32" s="9">
        <f>IFERROR(D32/C32,"")</f>
        <v/>
      </c>
      <c r="S32" s="21">
        <f>IF(DAY(DATE(PORTADA!$B$2,9,28))&lt;&gt;28,"",28)</f>
        <v/>
      </c>
      <c r="T32" s="22">
        <f>IF(DAY(DATE(PORTADA!$B$2,9,28))&lt;&gt;28,"",SUMIFS(MOVIMIENTOS!$F:$F,MOVIMIENTOS!$A:$A,DATE(PORTADA!$B$2,9,28),MOVIMIENTOS!$C:$C,T$4))</f>
        <v/>
      </c>
      <c r="U32" s="22">
        <f>IF(DAY(DATE(PORTADA!$B$2,9,28))&lt;&gt;28,"",SUMIFS(MOVIMIENTOS!$F:$F,MOVIMIENTOS!$A:$A,DATE(PORTADA!$B$2,9,28),MOVIMIENTOS!$C:$C,U$4))</f>
        <v/>
      </c>
      <c r="V32" s="22">
        <f>IF(DAY(DATE(PORTADA!$B$2,9,28))&lt;&gt;28,"",SUMIFS(MOVIMIENTOS!$F:$F,MOVIMIENTOS!$A:$A,DATE(PORTADA!$B$2,9,28),MOVIMIENTOS!$C:$C,V$4))</f>
        <v/>
      </c>
      <c r="W32" s="22">
        <f>IF(DAY(DATE(PORTADA!$B$2,9,28))&lt;&gt;28,"",SUMIFS(MOVIMIENTOS!$F:$F,MOVIMIENTOS!$A:$A,DATE(PORTADA!$B$2,9,28),MOVIMIENTOS!$C:$C,W$4))</f>
        <v/>
      </c>
      <c r="X32" s="22">
        <f>IF(DAY(DATE(PORTADA!$B$2,9,28))&lt;&gt;28,"",SUMIFS(MOVIMIENTOS!$F:$F,MOVIMIENTOS!$A:$A,DATE(PORTADA!$B$2,9,28),MOVIMIENTOS!$C:$C,X$4))</f>
        <v/>
      </c>
      <c r="Y32" s="22">
        <f>IF(DAY(DATE(PORTADA!$B$2,9,28))&lt;&gt;28,"",SUMIFS(MOVIMIENTOS!$F:$F,MOVIMIENTOS!$A:$A,DATE(PORTADA!$B$2,9,28),MOVIMIENTOS!$C:$C,Y$4))</f>
        <v/>
      </c>
      <c r="Z32" s="22">
        <f>IF(DAY(DATE(PORTADA!$B$2,9,28))&lt;&gt;28,"",SUMIFS(MOVIMIENTOS!$F:$F,MOVIMIENTOS!$A:$A,DATE(PORTADA!$B$2,9,28),MOVIMIENTOS!$C:$C,Z$4))</f>
        <v/>
      </c>
      <c r="AA32" s="22">
        <f>IF(DAY(DATE(PORTADA!$B$2,9,28))&lt;&gt;28,"",SUM(T32:Z32))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SUMIFS(MOVIMIENTOS!$F:$F,MOVIMIENTOS!$A:$A,"&gt;="&amp;DATE(PORTADA!$B$2,9,1),MOVIMIENTOS!$A:$A,"&lt;="&amp;EOMONTH(DATE(PORTADA!$B$2,9,1),0),MOVIMIENTOS!$D:$D,$B33)</f>
        <v/>
      </c>
      <c r="E33" s="8">
        <f>C33-D33</f>
        <v/>
      </c>
      <c r="F33" s="9">
        <f>IFERROR(D33/C33,"")</f>
        <v/>
      </c>
      <c r="S33" s="21">
        <f>IF(DAY(DATE(PORTADA!$B$2,9,29))&lt;&gt;29,"",29)</f>
        <v/>
      </c>
      <c r="T33" s="22">
        <f>IF(DAY(DATE(PORTADA!$B$2,9,29))&lt;&gt;29,"",SUMIFS(MOVIMIENTOS!$F:$F,MOVIMIENTOS!$A:$A,DATE(PORTADA!$B$2,9,29),MOVIMIENTOS!$C:$C,T$4))</f>
        <v/>
      </c>
      <c r="U33" s="22">
        <f>IF(DAY(DATE(PORTADA!$B$2,9,29))&lt;&gt;29,"",SUMIFS(MOVIMIENTOS!$F:$F,MOVIMIENTOS!$A:$A,DATE(PORTADA!$B$2,9,29),MOVIMIENTOS!$C:$C,U$4))</f>
        <v/>
      </c>
      <c r="V33" s="22">
        <f>IF(DAY(DATE(PORTADA!$B$2,9,29))&lt;&gt;29,"",SUMIFS(MOVIMIENTOS!$F:$F,MOVIMIENTOS!$A:$A,DATE(PORTADA!$B$2,9,29),MOVIMIENTOS!$C:$C,V$4))</f>
        <v/>
      </c>
      <c r="W33" s="22">
        <f>IF(DAY(DATE(PORTADA!$B$2,9,29))&lt;&gt;29,"",SUMIFS(MOVIMIENTOS!$F:$F,MOVIMIENTOS!$A:$A,DATE(PORTADA!$B$2,9,29),MOVIMIENTOS!$C:$C,W$4))</f>
        <v/>
      </c>
      <c r="X33" s="22">
        <f>IF(DAY(DATE(PORTADA!$B$2,9,29))&lt;&gt;29,"",SUMIFS(MOVIMIENTOS!$F:$F,MOVIMIENTOS!$A:$A,DATE(PORTADA!$B$2,9,29),MOVIMIENTOS!$C:$C,X$4))</f>
        <v/>
      </c>
      <c r="Y33" s="22">
        <f>IF(DAY(DATE(PORTADA!$B$2,9,29))&lt;&gt;29,"",SUMIFS(MOVIMIENTOS!$F:$F,MOVIMIENTOS!$A:$A,DATE(PORTADA!$B$2,9,29),MOVIMIENTOS!$C:$C,Y$4))</f>
        <v/>
      </c>
      <c r="Z33" s="22">
        <f>IF(DAY(DATE(PORTADA!$B$2,9,29))&lt;&gt;29,"",SUMIFS(MOVIMIENTOS!$F:$F,MOVIMIENTOS!$A:$A,DATE(PORTADA!$B$2,9,29),MOVIMIENTOS!$C:$C,Z$4))</f>
        <v/>
      </c>
      <c r="AA33" s="22">
        <f>IF(DAY(DATE(PORTADA!$B$2,9,29))&lt;&gt;29,"",SUM(T33:Z33))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SUMIFS(MOVIMIENTOS!$F:$F,MOVIMIENTOS!$A:$A,"&gt;="&amp;DATE(PORTADA!$B$2,9,1),MOVIMIENTOS!$A:$A,"&lt;="&amp;EOMONTH(DATE(PORTADA!$B$2,9,1),0),MOVIMIENTOS!$D:$D,$B34)</f>
        <v/>
      </c>
      <c r="E34" s="8">
        <f>C34-D34</f>
        <v/>
      </c>
      <c r="F34" s="9">
        <f>IFERROR(D34/C34,"")</f>
        <v/>
      </c>
      <c r="S34" s="21">
        <f>IF(DAY(DATE(PORTADA!$B$2,9,30))&lt;&gt;30,"",30)</f>
        <v/>
      </c>
      <c r="T34" s="22">
        <f>IF(DAY(DATE(PORTADA!$B$2,9,30))&lt;&gt;30,"",SUMIFS(MOVIMIENTOS!$F:$F,MOVIMIENTOS!$A:$A,DATE(PORTADA!$B$2,9,30),MOVIMIENTOS!$C:$C,T$4))</f>
        <v/>
      </c>
      <c r="U34" s="22">
        <f>IF(DAY(DATE(PORTADA!$B$2,9,30))&lt;&gt;30,"",SUMIFS(MOVIMIENTOS!$F:$F,MOVIMIENTOS!$A:$A,DATE(PORTADA!$B$2,9,30),MOVIMIENTOS!$C:$C,U$4))</f>
        <v/>
      </c>
      <c r="V34" s="22">
        <f>IF(DAY(DATE(PORTADA!$B$2,9,30))&lt;&gt;30,"",SUMIFS(MOVIMIENTOS!$F:$F,MOVIMIENTOS!$A:$A,DATE(PORTADA!$B$2,9,30),MOVIMIENTOS!$C:$C,V$4))</f>
        <v/>
      </c>
      <c r="W34" s="22">
        <f>IF(DAY(DATE(PORTADA!$B$2,9,30))&lt;&gt;30,"",SUMIFS(MOVIMIENTOS!$F:$F,MOVIMIENTOS!$A:$A,DATE(PORTADA!$B$2,9,30),MOVIMIENTOS!$C:$C,W$4))</f>
        <v/>
      </c>
      <c r="X34" s="22">
        <f>IF(DAY(DATE(PORTADA!$B$2,9,30))&lt;&gt;30,"",SUMIFS(MOVIMIENTOS!$F:$F,MOVIMIENTOS!$A:$A,DATE(PORTADA!$B$2,9,30),MOVIMIENTOS!$C:$C,X$4))</f>
        <v/>
      </c>
      <c r="Y34" s="22">
        <f>IF(DAY(DATE(PORTADA!$B$2,9,30))&lt;&gt;30,"",SUMIFS(MOVIMIENTOS!$F:$F,MOVIMIENTOS!$A:$A,DATE(PORTADA!$B$2,9,30),MOVIMIENTOS!$C:$C,Y$4))</f>
        <v/>
      </c>
      <c r="Z34" s="22">
        <f>IF(DAY(DATE(PORTADA!$B$2,9,30))&lt;&gt;30,"",SUMIFS(MOVIMIENTOS!$F:$F,MOVIMIENTOS!$A:$A,DATE(PORTADA!$B$2,9,30),MOVIMIENTOS!$C:$C,Z$4))</f>
        <v/>
      </c>
      <c r="AA34" s="22">
        <f>IF(DAY(DATE(PORTADA!$B$2,9,30))&lt;&gt;30,"",SUM(T34:Z34))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SUMIFS(MOVIMIENTOS!$F:$F,MOVIMIENTOS!$A:$A,"&gt;="&amp;DATE(PORTADA!$B$2,9,1),MOVIMIENTOS!$A:$A,"&lt;="&amp;EOMONTH(DATE(PORTADA!$B$2,9,1),0),MOVIMIENTOS!$D:$D,$B35)</f>
        <v/>
      </c>
      <c r="E35" s="8">
        <f>C35-D35</f>
        <v/>
      </c>
      <c r="F35" s="9">
        <f>IFERROR(D35/C35,"")</f>
        <v/>
      </c>
      <c r="S35" s="21">
        <f>IF(DAY(DATE(PORTADA!$B$2,9,31))&lt;&gt;31,"",31)</f>
        <v/>
      </c>
      <c r="T35" s="22">
        <f>IF(DAY(DATE(PORTADA!$B$2,9,31))&lt;&gt;31,"",SUMIFS(MOVIMIENTOS!$F:$F,MOVIMIENTOS!$A:$A,DATE(PORTADA!$B$2,9,31),MOVIMIENTOS!$C:$C,T$4))</f>
        <v/>
      </c>
      <c r="U35" s="22">
        <f>IF(DAY(DATE(PORTADA!$B$2,9,31))&lt;&gt;31,"",SUMIFS(MOVIMIENTOS!$F:$F,MOVIMIENTOS!$A:$A,DATE(PORTADA!$B$2,9,31),MOVIMIENTOS!$C:$C,U$4))</f>
        <v/>
      </c>
      <c r="V35" s="22">
        <f>IF(DAY(DATE(PORTADA!$B$2,9,31))&lt;&gt;31,"",SUMIFS(MOVIMIENTOS!$F:$F,MOVIMIENTOS!$A:$A,DATE(PORTADA!$B$2,9,31),MOVIMIENTOS!$C:$C,V$4))</f>
        <v/>
      </c>
      <c r="W35" s="22">
        <f>IF(DAY(DATE(PORTADA!$B$2,9,31))&lt;&gt;31,"",SUMIFS(MOVIMIENTOS!$F:$F,MOVIMIENTOS!$A:$A,DATE(PORTADA!$B$2,9,31),MOVIMIENTOS!$C:$C,W$4))</f>
        <v/>
      </c>
      <c r="X35" s="22">
        <f>IF(DAY(DATE(PORTADA!$B$2,9,31))&lt;&gt;31,"",SUMIFS(MOVIMIENTOS!$F:$F,MOVIMIENTOS!$A:$A,DATE(PORTADA!$B$2,9,31),MOVIMIENTOS!$C:$C,X$4))</f>
        <v/>
      </c>
      <c r="Y35" s="22">
        <f>IF(DAY(DATE(PORTADA!$B$2,9,31))&lt;&gt;31,"",SUMIFS(MOVIMIENTOS!$F:$F,MOVIMIENTOS!$A:$A,DATE(PORTADA!$B$2,9,31),MOVIMIENTOS!$C:$C,Y$4))</f>
        <v/>
      </c>
      <c r="Z35" s="22">
        <f>IF(DAY(DATE(PORTADA!$B$2,9,31))&lt;&gt;31,"",SUMIFS(MOVIMIENTOS!$F:$F,MOVIMIENTOS!$A:$A,DATE(PORTADA!$B$2,9,31),MOVIMIENTOS!$C:$C,Z$4))</f>
        <v/>
      </c>
      <c r="AA35" s="22">
        <f>IF(DAY(DATE(PORTADA!$B$2,9,31))&lt;&gt;31,"",SUM(T35:Z35))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SUMIFS(MOVIMIENTOS!$F:$F,MOVIMIENTOS!$A:$A,"&gt;="&amp;DATE(PORTADA!$B$2,9,1),MOVIMIENTOS!$A:$A,"&lt;="&amp;EOMONTH(DATE(PORTADA!$B$2,9,1),0),MOVIMIENTOS!$D:$D,$B36)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SUMIFS(MOVIMIENTOS!$F:$F,MOVIMIENTOS!$A:$A,"&gt;="&amp;DATE(PORTADA!$B$2,9,1),MOVIMIENTOS!$A:$A,"&lt;="&amp;EOMONTH(DATE(PORTADA!$B$2,9,1),0),MOVIMIENTOS!$D:$D,$B37)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SUMIFS(MOVIMIENTOS!$F:$F,MOVIMIENTOS!$A:$A,"&gt;="&amp;DATE(PORTADA!$B$2,9,1),MOVIMIENTOS!$A:$A,"&lt;="&amp;EOMONTH(DATE(PORTADA!$B$2,9,1),0),MOVIMIENTOS!$D:$D,$B38)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SUMIFS(MOVIMIENTOS!$F:$F,MOVIMIENTOS!$A:$A,"&gt;="&amp;DATE(PORTADA!$B$2,9,1),MOVIMIENTOS!$A:$A,"&lt;="&amp;EOMONTH(DATE(PORTADA!$B$2,9,1),0),MOVIMIENTOS!$D:$D,$B39)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SUMIFS(MOVIMIENTOS!$F:$F,MOVIMIENTOS!$A:$A,"&gt;="&amp;DATE(PORTADA!$B$2,9,1),MOVIMIENTOS!$A:$A,"&lt;="&amp;EOMONTH(DATE(PORTADA!$B$2,9,1),0),MOVIMIENTOS!$E:$E,"GASTO")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SUMIFS(MOVIMIENTOS!$F:$F,MOVIMIENTOS!$A:$A,"&gt;="&amp;DATE(PORTADA!$B$2,9,1),MOVIMIENTOS!$A:$A,"&lt;="&amp;EOMONTH(DATE(PORTADA!$B$2,9,1),0),MOVIMIENTOS!$E:$E,"AHORRO")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SUMIFS(MOVIMIENTOS!$F:$F,MOVIMIENTOS!$A:$A,"&gt;="&amp;DATE(PORTADA!$B$2,9,1),MOVIMIENTOS!$A:$A,"&lt;="&amp;EOMONTH(DATE(PORTADA!$B$2,9,1),0),MOVIMIENTOS!$E:$E,"DEUDA")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OCTUBRE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IF(DAY(DATE(PORTADA!$B$2,10,1))&lt;&gt;1,"",1)</f>
        <v/>
      </c>
      <c r="T5" s="22">
        <f>IF(DAY(DATE(PORTADA!$B$2,10,1))&lt;&gt;1,"",SUMIFS(MOVIMIENTOS!$F:$F,MOVIMIENTOS!$A:$A,DATE(PORTADA!$B$2,10,1),MOVIMIENTOS!$C:$C,T$4))</f>
        <v/>
      </c>
      <c r="U5" s="22">
        <f>IF(DAY(DATE(PORTADA!$B$2,10,1))&lt;&gt;1,"",SUMIFS(MOVIMIENTOS!$F:$F,MOVIMIENTOS!$A:$A,DATE(PORTADA!$B$2,10,1),MOVIMIENTOS!$C:$C,U$4))</f>
        <v/>
      </c>
      <c r="V5" s="22">
        <f>IF(DAY(DATE(PORTADA!$B$2,10,1))&lt;&gt;1,"",SUMIFS(MOVIMIENTOS!$F:$F,MOVIMIENTOS!$A:$A,DATE(PORTADA!$B$2,10,1),MOVIMIENTOS!$C:$C,V$4))</f>
        <v/>
      </c>
      <c r="W5" s="22">
        <f>IF(DAY(DATE(PORTADA!$B$2,10,1))&lt;&gt;1,"",SUMIFS(MOVIMIENTOS!$F:$F,MOVIMIENTOS!$A:$A,DATE(PORTADA!$B$2,10,1),MOVIMIENTOS!$C:$C,W$4))</f>
        <v/>
      </c>
      <c r="X5" s="22">
        <f>IF(DAY(DATE(PORTADA!$B$2,10,1))&lt;&gt;1,"",SUMIFS(MOVIMIENTOS!$F:$F,MOVIMIENTOS!$A:$A,DATE(PORTADA!$B$2,10,1),MOVIMIENTOS!$C:$C,X$4))</f>
        <v/>
      </c>
      <c r="Y5" s="22">
        <f>IF(DAY(DATE(PORTADA!$B$2,10,1))&lt;&gt;1,"",SUMIFS(MOVIMIENTOS!$F:$F,MOVIMIENTOS!$A:$A,DATE(PORTADA!$B$2,10,1),MOVIMIENTOS!$C:$C,Y$4))</f>
        <v/>
      </c>
      <c r="Z5" s="22">
        <f>IF(DAY(DATE(PORTADA!$B$2,10,1))&lt;&gt;1,"",SUMIFS(MOVIMIENTOS!$F:$F,MOVIMIENTOS!$A:$A,DATE(PORTADA!$B$2,10,1),MOVIMIENTOS!$C:$C,Z$4))</f>
        <v/>
      </c>
      <c r="AA5" s="22">
        <f>IF(DAY(DATE(PORTADA!$B$2,10,1))&lt;&gt;1,"",SUM(T5:Z5))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SUMIFS(MOVIMIENTOS!$F:$F,MOVIMIENTOS!$A:$A,"&gt;="&amp;DATE(PORTADA!$B$2,10,1),MOVIMIENTOS!$A:$A,"&lt;="&amp;EOMONTH(DATE(PORTADA!$B$2,10,1),0),MOVIMIENTOS!$D:$D,$B6)</f>
        <v/>
      </c>
      <c r="E6" s="8">
        <f>D6-C6</f>
        <v/>
      </c>
      <c r="F6" s="9">
        <f>IFERROR(D6/C6,"")</f>
        <v/>
      </c>
      <c r="S6" s="21">
        <f>IF(DAY(DATE(PORTADA!$B$2,10,2))&lt;&gt;2,"",2)</f>
        <v/>
      </c>
      <c r="T6" s="22">
        <f>IF(DAY(DATE(PORTADA!$B$2,10,2))&lt;&gt;2,"",SUMIFS(MOVIMIENTOS!$F:$F,MOVIMIENTOS!$A:$A,DATE(PORTADA!$B$2,10,2),MOVIMIENTOS!$C:$C,T$4))</f>
        <v/>
      </c>
      <c r="U6" s="22">
        <f>IF(DAY(DATE(PORTADA!$B$2,10,2))&lt;&gt;2,"",SUMIFS(MOVIMIENTOS!$F:$F,MOVIMIENTOS!$A:$A,DATE(PORTADA!$B$2,10,2),MOVIMIENTOS!$C:$C,U$4))</f>
        <v/>
      </c>
      <c r="V6" s="22">
        <f>IF(DAY(DATE(PORTADA!$B$2,10,2))&lt;&gt;2,"",SUMIFS(MOVIMIENTOS!$F:$F,MOVIMIENTOS!$A:$A,DATE(PORTADA!$B$2,10,2),MOVIMIENTOS!$C:$C,V$4))</f>
        <v/>
      </c>
      <c r="W6" s="22">
        <f>IF(DAY(DATE(PORTADA!$B$2,10,2))&lt;&gt;2,"",SUMIFS(MOVIMIENTOS!$F:$F,MOVIMIENTOS!$A:$A,DATE(PORTADA!$B$2,10,2),MOVIMIENTOS!$C:$C,W$4))</f>
        <v/>
      </c>
      <c r="X6" s="22">
        <f>IF(DAY(DATE(PORTADA!$B$2,10,2))&lt;&gt;2,"",SUMIFS(MOVIMIENTOS!$F:$F,MOVIMIENTOS!$A:$A,DATE(PORTADA!$B$2,10,2),MOVIMIENTOS!$C:$C,X$4))</f>
        <v/>
      </c>
      <c r="Y6" s="22">
        <f>IF(DAY(DATE(PORTADA!$B$2,10,2))&lt;&gt;2,"",SUMIFS(MOVIMIENTOS!$F:$F,MOVIMIENTOS!$A:$A,DATE(PORTADA!$B$2,10,2),MOVIMIENTOS!$C:$C,Y$4))</f>
        <v/>
      </c>
      <c r="Z6" s="22">
        <f>IF(DAY(DATE(PORTADA!$B$2,10,2))&lt;&gt;2,"",SUMIFS(MOVIMIENTOS!$F:$F,MOVIMIENTOS!$A:$A,DATE(PORTADA!$B$2,10,2),MOVIMIENTOS!$C:$C,Z$4))</f>
        <v/>
      </c>
      <c r="AA6" s="22">
        <f>IF(DAY(DATE(PORTADA!$B$2,10,2))&lt;&gt;2,"",SUM(T6:Z6))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SUMIFS(MOVIMIENTOS!$F:$F,MOVIMIENTOS!$A:$A,"&gt;="&amp;DATE(PORTADA!$B$2,10,1),MOVIMIENTOS!$A:$A,"&lt;="&amp;EOMONTH(DATE(PORTADA!$B$2,10,1),0),MOVIMIENTOS!$D:$D,$B7)</f>
        <v/>
      </c>
      <c r="E7" s="8">
        <f>D7-C7</f>
        <v/>
      </c>
      <c r="F7" s="9">
        <f>IFERROR(D7/C7,"")</f>
        <v/>
      </c>
      <c r="S7" s="21">
        <f>IF(DAY(DATE(PORTADA!$B$2,10,3))&lt;&gt;3,"",3)</f>
        <v/>
      </c>
      <c r="T7" s="22">
        <f>IF(DAY(DATE(PORTADA!$B$2,10,3))&lt;&gt;3,"",SUMIFS(MOVIMIENTOS!$F:$F,MOVIMIENTOS!$A:$A,DATE(PORTADA!$B$2,10,3),MOVIMIENTOS!$C:$C,T$4))</f>
        <v/>
      </c>
      <c r="U7" s="22">
        <f>IF(DAY(DATE(PORTADA!$B$2,10,3))&lt;&gt;3,"",SUMIFS(MOVIMIENTOS!$F:$F,MOVIMIENTOS!$A:$A,DATE(PORTADA!$B$2,10,3),MOVIMIENTOS!$C:$C,U$4))</f>
        <v/>
      </c>
      <c r="V7" s="22">
        <f>IF(DAY(DATE(PORTADA!$B$2,10,3))&lt;&gt;3,"",SUMIFS(MOVIMIENTOS!$F:$F,MOVIMIENTOS!$A:$A,DATE(PORTADA!$B$2,10,3),MOVIMIENTOS!$C:$C,V$4))</f>
        <v/>
      </c>
      <c r="W7" s="22">
        <f>IF(DAY(DATE(PORTADA!$B$2,10,3))&lt;&gt;3,"",SUMIFS(MOVIMIENTOS!$F:$F,MOVIMIENTOS!$A:$A,DATE(PORTADA!$B$2,10,3),MOVIMIENTOS!$C:$C,W$4))</f>
        <v/>
      </c>
      <c r="X7" s="22">
        <f>IF(DAY(DATE(PORTADA!$B$2,10,3))&lt;&gt;3,"",SUMIFS(MOVIMIENTOS!$F:$F,MOVIMIENTOS!$A:$A,DATE(PORTADA!$B$2,10,3),MOVIMIENTOS!$C:$C,X$4))</f>
        <v/>
      </c>
      <c r="Y7" s="22">
        <f>IF(DAY(DATE(PORTADA!$B$2,10,3))&lt;&gt;3,"",SUMIFS(MOVIMIENTOS!$F:$F,MOVIMIENTOS!$A:$A,DATE(PORTADA!$B$2,10,3),MOVIMIENTOS!$C:$C,Y$4))</f>
        <v/>
      </c>
      <c r="Z7" s="22">
        <f>IF(DAY(DATE(PORTADA!$B$2,10,3))&lt;&gt;3,"",SUMIFS(MOVIMIENTOS!$F:$F,MOVIMIENTOS!$A:$A,DATE(PORTADA!$B$2,10,3),MOVIMIENTOS!$C:$C,Z$4))</f>
        <v/>
      </c>
      <c r="AA7" s="22">
        <f>IF(DAY(DATE(PORTADA!$B$2,10,3))&lt;&gt;3,"",SUM(T7:Z7))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SUMIFS(MOVIMIENTOS!$F:$F,MOVIMIENTOS!$A:$A,"&gt;="&amp;DATE(PORTADA!$B$2,10,1),MOVIMIENTOS!$A:$A,"&lt;="&amp;EOMONTH(DATE(PORTADA!$B$2,10,1),0),MOVIMIENTOS!$D:$D,$B8)</f>
        <v/>
      </c>
      <c r="E8" s="8">
        <f>D8-C8</f>
        <v/>
      </c>
      <c r="F8" s="9">
        <f>IFERROR(D8/C8,"")</f>
        <v/>
      </c>
      <c r="S8" s="21">
        <f>IF(DAY(DATE(PORTADA!$B$2,10,4))&lt;&gt;4,"",4)</f>
        <v/>
      </c>
      <c r="T8" s="22">
        <f>IF(DAY(DATE(PORTADA!$B$2,10,4))&lt;&gt;4,"",SUMIFS(MOVIMIENTOS!$F:$F,MOVIMIENTOS!$A:$A,DATE(PORTADA!$B$2,10,4),MOVIMIENTOS!$C:$C,T$4))</f>
        <v/>
      </c>
      <c r="U8" s="22">
        <f>IF(DAY(DATE(PORTADA!$B$2,10,4))&lt;&gt;4,"",SUMIFS(MOVIMIENTOS!$F:$F,MOVIMIENTOS!$A:$A,DATE(PORTADA!$B$2,10,4),MOVIMIENTOS!$C:$C,U$4))</f>
        <v/>
      </c>
      <c r="V8" s="22">
        <f>IF(DAY(DATE(PORTADA!$B$2,10,4))&lt;&gt;4,"",SUMIFS(MOVIMIENTOS!$F:$F,MOVIMIENTOS!$A:$A,DATE(PORTADA!$B$2,10,4),MOVIMIENTOS!$C:$C,V$4))</f>
        <v/>
      </c>
      <c r="W8" s="22">
        <f>IF(DAY(DATE(PORTADA!$B$2,10,4))&lt;&gt;4,"",SUMIFS(MOVIMIENTOS!$F:$F,MOVIMIENTOS!$A:$A,DATE(PORTADA!$B$2,10,4),MOVIMIENTOS!$C:$C,W$4))</f>
        <v/>
      </c>
      <c r="X8" s="22">
        <f>IF(DAY(DATE(PORTADA!$B$2,10,4))&lt;&gt;4,"",SUMIFS(MOVIMIENTOS!$F:$F,MOVIMIENTOS!$A:$A,DATE(PORTADA!$B$2,10,4),MOVIMIENTOS!$C:$C,X$4))</f>
        <v/>
      </c>
      <c r="Y8" s="22">
        <f>IF(DAY(DATE(PORTADA!$B$2,10,4))&lt;&gt;4,"",SUMIFS(MOVIMIENTOS!$F:$F,MOVIMIENTOS!$A:$A,DATE(PORTADA!$B$2,10,4),MOVIMIENTOS!$C:$C,Y$4))</f>
        <v/>
      </c>
      <c r="Z8" s="22">
        <f>IF(DAY(DATE(PORTADA!$B$2,10,4))&lt;&gt;4,"",SUMIFS(MOVIMIENTOS!$F:$F,MOVIMIENTOS!$A:$A,DATE(PORTADA!$B$2,10,4),MOVIMIENTOS!$C:$C,Z$4))</f>
        <v/>
      </c>
      <c r="AA8" s="22">
        <f>IF(DAY(DATE(PORTADA!$B$2,10,4))&lt;&gt;4,"",SUM(T8:Z8))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SUMIFS(MOVIMIENTOS!$F:$F,MOVIMIENTOS!$A:$A,"&gt;="&amp;DATE(PORTADA!$B$2,10,1),MOVIMIENTOS!$A:$A,"&lt;="&amp;EOMONTH(DATE(PORTADA!$B$2,10,1),0),MOVIMIENTOS!$D:$D,$B9)</f>
        <v/>
      </c>
      <c r="E9" s="8">
        <f>D9-C9</f>
        <v/>
      </c>
      <c r="F9" s="9">
        <f>IFERROR(D9/C9,"")</f>
        <v/>
      </c>
      <c r="S9" s="21">
        <f>IF(DAY(DATE(PORTADA!$B$2,10,5))&lt;&gt;5,"",5)</f>
        <v/>
      </c>
      <c r="T9" s="22">
        <f>IF(DAY(DATE(PORTADA!$B$2,10,5))&lt;&gt;5,"",SUMIFS(MOVIMIENTOS!$F:$F,MOVIMIENTOS!$A:$A,DATE(PORTADA!$B$2,10,5),MOVIMIENTOS!$C:$C,T$4))</f>
        <v/>
      </c>
      <c r="U9" s="22">
        <f>IF(DAY(DATE(PORTADA!$B$2,10,5))&lt;&gt;5,"",SUMIFS(MOVIMIENTOS!$F:$F,MOVIMIENTOS!$A:$A,DATE(PORTADA!$B$2,10,5),MOVIMIENTOS!$C:$C,U$4))</f>
        <v/>
      </c>
      <c r="V9" s="22">
        <f>IF(DAY(DATE(PORTADA!$B$2,10,5))&lt;&gt;5,"",SUMIFS(MOVIMIENTOS!$F:$F,MOVIMIENTOS!$A:$A,DATE(PORTADA!$B$2,10,5),MOVIMIENTOS!$C:$C,V$4))</f>
        <v/>
      </c>
      <c r="W9" s="22">
        <f>IF(DAY(DATE(PORTADA!$B$2,10,5))&lt;&gt;5,"",SUMIFS(MOVIMIENTOS!$F:$F,MOVIMIENTOS!$A:$A,DATE(PORTADA!$B$2,10,5),MOVIMIENTOS!$C:$C,W$4))</f>
        <v/>
      </c>
      <c r="X9" s="22">
        <f>IF(DAY(DATE(PORTADA!$B$2,10,5))&lt;&gt;5,"",SUMIFS(MOVIMIENTOS!$F:$F,MOVIMIENTOS!$A:$A,DATE(PORTADA!$B$2,10,5),MOVIMIENTOS!$C:$C,X$4))</f>
        <v/>
      </c>
      <c r="Y9" s="22">
        <f>IF(DAY(DATE(PORTADA!$B$2,10,5))&lt;&gt;5,"",SUMIFS(MOVIMIENTOS!$F:$F,MOVIMIENTOS!$A:$A,DATE(PORTADA!$B$2,10,5),MOVIMIENTOS!$C:$C,Y$4))</f>
        <v/>
      </c>
      <c r="Z9" s="22">
        <f>IF(DAY(DATE(PORTADA!$B$2,10,5))&lt;&gt;5,"",SUMIFS(MOVIMIENTOS!$F:$F,MOVIMIENTOS!$A:$A,DATE(PORTADA!$B$2,10,5),MOVIMIENTOS!$C:$C,Z$4))</f>
        <v/>
      </c>
      <c r="AA9" s="22">
        <f>IF(DAY(DATE(PORTADA!$B$2,10,5))&lt;&gt;5,"",SUM(T9:Z9))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SUMIFS(MOVIMIENTOS!$F:$F,MOVIMIENTOS!$A:$A,"&gt;="&amp;DATE(PORTADA!$B$2,10,1),MOVIMIENTOS!$A:$A,"&lt;="&amp;EOMONTH(DATE(PORTADA!$B$2,10,1),0),MOVIMIENTOS!$D:$D,$B10)</f>
        <v/>
      </c>
      <c r="E10" s="8">
        <f>D10-C10</f>
        <v/>
      </c>
      <c r="F10" s="9">
        <f>IFERROR(D10/C10,"")</f>
        <v/>
      </c>
      <c r="S10" s="21">
        <f>IF(DAY(DATE(PORTADA!$B$2,10,6))&lt;&gt;6,"",6)</f>
        <v/>
      </c>
      <c r="T10" s="22">
        <f>IF(DAY(DATE(PORTADA!$B$2,10,6))&lt;&gt;6,"",SUMIFS(MOVIMIENTOS!$F:$F,MOVIMIENTOS!$A:$A,DATE(PORTADA!$B$2,10,6),MOVIMIENTOS!$C:$C,T$4))</f>
        <v/>
      </c>
      <c r="U10" s="22">
        <f>IF(DAY(DATE(PORTADA!$B$2,10,6))&lt;&gt;6,"",SUMIFS(MOVIMIENTOS!$F:$F,MOVIMIENTOS!$A:$A,DATE(PORTADA!$B$2,10,6),MOVIMIENTOS!$C:$C,U$4))</f>
        <v/>
      </c>
      <c r="V10" s="22">
        <f>IF(DAY(DATE(PORTADA!$B$2,10,6))&lt;&gt;6,"",SUMIFS(MOVIMIENTOS!$F:$F,MOVIMIENTOS!$A:$A,DATE(PORTADA!$B$2,10,6),MOVIMIENTOS!$C:$C,V$4))</f>
        <v/>
      </c>
      <c r="W10" s="22">
        <f>IF(DAY(DATE(PORTADA!$B$2,10,6))&lt;&gt;6,"",SUMIFS(MOVIMIENTOS!$F:$F,MOVIMIENTOS!$A:$A,DATE(PORTADA!$B$2,10,6),MOVIMIENTOS!$C:$C,W$4))</f>
        <v/>
      </c>
      <c r="X10" s="22">
        <f>IF(DAY(DATE(PORTADA!$B$2,10,6))&lt;&gt;6,"",SUMIFS(MOVIMIENTOS!$F:$F,MOVIMIENTOS!$A:$A,DATE(PORTADA!$B$2,10,6),MOVIMIENTOS!$C:$C,X$4))</f>
        <v/>
      </c>
      <c r="Y10" s="22">
        <f>IF(DAY(DATE(PORTADA!$B$2,10,6))&lt;&gt;6,"",SUMIFS(MOVIMIENTOS!$F:$F,MOVIMIENTOS!$A:$A,DATE(PORTADA!$B$2,10,6),MOVIMIENTOS!$C:$C,Y$4))</f>
        <v/>
      </c>
      <c r="Z10" s="22">
        <f>IF(DAY(DATE(PORTADA!$B$2,10,6))&lt;&gt;6,"",SUMIFS(MOVIMIENTOS!$F:$F,MOVIMIENTOS!$A:$A,DATE(PORTADA!$B$2,10,6),MOVIMIENTOS!$C:$C,Z$4))</f>
        <v/>
      </c>
      <c r="AA10" s="22">
        <f>IF(DAY(DATE(PORTADA!$B$2,10,6))&lt;&gt;6,"",SUM(T10:Z10))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SUMIFS(MOVIMIENTOS!$F:$F,MOVIMIENTOS!$A:$A,"&gt;="&amp;DATE(PORTADA!$B$2,10,1),MOVIMIENTOS!$A:$A,"&lt;="&amp;EOMONTH(DATE(PORTADA!$B$2,10,1),0),MOVIMIENTOS!$D:$D,$B11)</f>
        <v/>
      </c>
      <c r="E11" s="8">
        <f>D11-C11</f>
        <v/>
      </c>
      <c r="F11" s="9">
        <f>IFERROR(D11/C11,"")</f>
        <v/>
      </c>
      <c r="S11" s="21">
        <f>IF(DAY(DATE(PORTADA!$B$2,10,7))&lt;&gt;7,"",7)</f>
        <v/>
      </c>
      <c r="T11" s="22">
        <f>IF(DAY(DATE(PORTADA!$B$2,10,7))&lt;&gt;7,"",SUMIFS(MOVIMIENTOS!$F:$F,MOVIMIENTOS!$A:$A,DATE(PORTADA!$B$2,10,7),MOVIMIENTOS!$C:$C,T$4))</f>
        <v/>
      </c>
      <c r="U11" s="22">
        <f>IF(DAY(DATE(PORTADA!$B$2,10,7))&lt;&gt;7,"",SUMIFS(MOVIMIENTOS!$F:$F,MOVIMIENTOS!$A:$A,DATE(PORTADA!$B$2,10,7),MOVIMIENTOS!$C:$C,U$4))</f>
        <v/>
      </c>
      <c r="V11" s="22">
        <f>IF(DAY(DATE(PORTADA!$B$2,10,7))&lt;&gt;7,"",SUMIFS(MOVIMIENTOS!$F:$F,MOVIMIENTOS!$A:$A,DATE(PORTADA!$B$2,10,7),MOVIMIENTOS!$C:$C,V$4))</f>
        <v/>
      </c>
      <c r="W11" s="22">
        <f>IF(DAY(DATE(PORTADA!$B$2,10,7))&lt;&gt;7,"",SUMIFS(MOVIMIENTOS!$F:$F,MOVIMIENTOS!$A:$A,DATE(PORTADA!$B$2,10,7),MOVIMIENTOS!$C:$C,W$4))</f>
        <v/>
      </c>
      <c r="X11" s="22">
        <f>IF(DAY(DATE(PORTADA!$B$2,10,7))&lt;&gt;7,"",SUMIFS(MOVIMIENTOS!$F:$F,MOVIMIENTOS!$A:$A,DATE(PORTADA!$B$2,10,7),MOVIMIENTOS!$C:$C,X$4))</f>
        <v/>
      </c>
      <c r="Y11" s="22">
        <f>IF(DAY(DATE(PORTADA!$B$2,10,7))&lt;&gt;7,"",SUMIFS(MOVIMIENTOS!$F:$F,MOVIMIENTOS!$A:$A,DATE(PORTADA!$B$2,10,7),MOVIMIENTOS!$C:$C,Y$4))</f>
        <v/>
      </c>
      <c r="Z11" s="22">
        <f>IF(DAY(DATE(PORTADA!$B$2,10,7))&lt;&gt;7,"",SUMIFS(MOVIMIENTOS!$F:$F,MOVIMIENTOS!$A:$A,DATE(PORTADA!$B$2,10,7),MOVIMIENTOS!$C:$C,Z$4))</f>
        <v/>
      </c>
      <c r="AA11" s="22">
        <f>IF(DAY(DATE(PORTADA!$B$2,10,7))&lt;&gt;7,"",SUM(T11:Z11))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SUMIFS(MOVIMIENTOS!$F:$F,MOVIMIENTOS!$A:$A,"&gt;="&amp;DATE(PORTADA!$B$2,10,1),MOVIMIENTOS!$A:$A,"&lt;="&amp;EOMONTH(DATE(PORTADA!$B$2,10,1),0),MOVIMIENTOS!$D:$D,$B12)</f>
        <v/>
      </c>
      <c r="E12" s="8">
        <f>D12-C12</f>
        <v/>
      </c>
      <c r="F12" s="9">
        <f>IFERROR(D12/C12,"")</f>
        <v/>
      </c>
      <c r="S12" s="21">
        <f>IF(DAY(DATE(PORTADA!$B$2,10,8))&lt;&gt;8,"",8)</f>
        <v/>
      </c>
      <c r="T12" s="22">
        <f>IF(DAY(DATE(PORTADA!$B$2,10,8))&lt;&gt;8,"",SUMIFS(MOVIMIENTOS!$F:$F,MOVIMIENTOS!$A:$A,DATE(PORTADA!$B$2,10,8),MOVIMIENTOS!$C:$C,T$4))</f>
        <v/>
      </c>
      <c r="U12" s="22">
        <f>IF(DAY(DATE(PORTADA!$B$2,10,8))&lt;&gt;8,"",SUMIFS(MOVIMIENTOS!$F:$F,MOVIMIENTOS!$A:$A,DATE(PORTADA!$B$2,10,8),MOVIMIENTOS!$C:$C,U$4))</f>
        <v/>
      </c>
      <c r="V12" s="22">
        <f>IF(DAY(DATE(PORTADA!$B$2,10,8))&lt;&gt;8,"",SUMIFS(MOVIMIENTOS!$F:$F,MOVIMIENTOS!$A:$A,DATE(PORTADA!$B$2,10,8),MOVIMIENTOS!$C:$C,V$4))</f>
        <v/>
      </c>
      <c r="W12" s="22">
        <f>IF(DAY(DATE(PORTADA!$B$2,10,8))&lt;&gt;8,"",SUMIFS(MOVIMIENTOS!$F:$F,MOVIMIENTOS!$A:$A,DATE(PORTADA!$B$2,10,8),MOVIMIENTOS!$C:$C,W$4))</f>
        <v/>
      </c>
      <c r="X12" s="22">
        <f>IF(DAY(DATE(PORTADA!$B$2,10,8))&lt;&gt;8,"",SUMIFS(MOVIMIENTOS!$F:$F,MOVIMIENTOS!$A:$A,DATE(PORTADA!$B$2,10,8),MOVIMIENTOS!$C:$C,X$4))</f>
        <v/>
      </c>
      <c r="Y12" s="22">
        <f>IF(DAY(DATE(PORTADA!$B$2,10,8))&lt;&gt;8,"",SUMIFS(MOVIMIENTOS!$F:$F,MOVIMIENTOS!$A:$A,DATE(PORTADA!$B$2,10,8),MOVIMIENTOS!$C:$C,Y$4))</f>
        <v/>
      </c>
      <c r="Z12" s="22">
        <f>IF(DAY(DATE(PORTADA!$B$2,10,8))&lt;&gt;8,"",SUMIFS(MOVIMIENTOS!$F:$F,MOVIMIENTOS!$A:$A,DATE(PORTADA!$B$2,10,8),MOVIMIENTOS!$C:$C,Z$4))</f>
        <v/>
      </c>
      <c r="AA12" s="22">
        <f>IF(DAY(DATE(PORTADA!$B$2,10,8))&lt;&gt;8,"",SUM(T12:Z12))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IF(DAY(DATE(PORTADA!$B$2,10,9))&lt;&gt;9,"",9)</f>
        <v/>
      </c>
      <c r="T13" s="22">
        <f>IF(DAY(DATE(PORTADA!$B$2,10,9))&lt;&gt;9,"",SUMIFS(MOVIMIENTOS!$F:$F,MOVIMIENTOS!$A:$A,DATE(PORTADA!$B$2,10,9),MOVIMIENTOS!$C:$C,T$4))</f>
        <v/>
      </c>
      <c r="U13" s="22">
        <f>IF(DAY(DATE(PORTADA!$B$2,10,9))&lt;&gt;9,"",SUMIFS(MOVIMIENTOS!$F:$F,MOVIMIENTOS!$A:$A,DATE(PORTADA!$B$2,10,9),MOVIMIENTOS!$C:$C,U$4))</f>
        <v/>
      </c>
      <c r="V13" s="22">
        <f>IF(DAY(DATE(PORTADA!$B$2,10,9))&lt;&gt;9,"",SUMIFS(MOVIMIENTOS!$F:$F,MOVIMIENTOS!$A:$A,DATE(PORTADA!$B$2,10,9),MOVIMIENTOS!$C:$C,V$4))</f>
        <v/>
      </c>
      <c r="W13" s="22">
        <f>IF(DAY(DATE(PORTADA!$B$2,10,9))&lt;&gt;9,"",SUMIFS(MOVIMIENTOS!$F:$F,MOVIMIENTOS!$A:$A,DATE(PORTADA!$B$2,10,9),MOVIMIENTOS!$C:$C,W$4))</f>
        <v/>
      </c>
      <c r="X13" s="22">
        <f>IF(DAY(DATE(PORTADA!$B$2,10,9))&lt;&gt;9,"",SUMIFS(MOVIMIENTOS!$F:$F,MOVIMIENTOS!$A:$A,DATE(PORTADA!$B$2,10,9),MOVIMIENTOS!$C:$C,X$4))</f>
        <v/>
      </c>
      <c r="Y13" s="22">
        <f>IF(DAY(DATE(PORTADA!$B$2,10,9))&lt;&gt;9,"",SUMIFS(MOVIMIENTOS!$F:$F,MOVIMIENTOS!$A:$A,DATE(PORTADA!$B$2,10,9),MOVIMIENTOS!$C:$C,Y$4))</f>
        <v/>
      </c>
      <c r="Z13" s="22">
        <f>IF(DAY(DATE(PORTADA!$B$2,10,9))&lt;&gt;9,"",SUMIFS(MOVIMIENTOS!$F:$F,MOVIMIENTOS!$A:$A,DATE(PORTADA!$B$2,10,9),MOVIMIENTOS!$C:$C,Z$4))</f>
        <v/>
      </c>
      <c r="AA13" s="22">
        <f>IF(DAY(DATE(PORTADA!$B$2,10,9))&lt;&gt;9,"",SUM(T13:Z13))</f>
        <v/>
      </c>
    </row>
    <row r="14">
      <c r="S14" s="21">
        <f>IF(DAY(DATE(PORTADA!$B$2,10,10))&lt;&gt;10,"",10)</f>
        <v/>
      </c>
      <c r="T14" s="22">
        <f>IF(DAY(DATE(PORTADA!$B$2,10,10))&lt;&gt;10,"",SUMIFS(MOVIMIENTOS!$F:$F,MOVIMIENTOS!$A:$A,DATE(PORTADA!$B$2,10,10),MOVIMIENTOS!$C:$C,T$4))</f>
        <v/>
      </c>
      <c r="U14" s="22">
        <f>IF(DAY(DATE(PORTADA!$B$2,10,10))&lt;&gt;10,"",SUMIFS(MOVIMIENTOS!$F:$F,MOVIMIENTOS!$A:$A,DATE(PORTADA!$B$2,10,10),MOVIMIENTOS!$C:$C,U$4))</f>
        <v/>
      </c>
      <c r="V14" s="22">
        <f>IF(DAY(DATE(PORTADA!$B$2,10,10))&lt;&gt;10,"",SUMIFS(MOVIMIENTOS!$F:$F,MOVIMIENTOS!$A:$A,DATE(PORTADA!$B$2,10,10),MOVIMIENTOS!$C:$C,V$4))</f>
        <v/>
      </c>
      <c r="W14" s="22">
        <f>IF(DAY(DATE(PORTADA!$B$2,10,10))&lt;&gt;10,"",SUMIFS(MOVIMIENTOS!$F:$F,MOVIMIENTOS!$A:$A,DATE(PORTADA!$B$2,10,10),MOVIMIENTOS!$C:$C,W$4))</f>
        <v/>
      </c>
      <c r="X14" s="22">
        <f>IF(DAY(DATE(PORTADA!$B$2,10,10))&lt;&gt;10,"",SUMIFS(MOVIMIENTOS!$F:$F,MOVIMIENTOS!$A:$A,DATE(PORTADA!$B$2,10,10),MOVIMIENTOS!$C:$C,X$4))</f>
        <v/>
      </c>
      <c r="Y14" s="22">
        <f>IF(DAY(DATE(PORTADA!$B$2,10,10))&lt;&gt;10,"",SUMIFS(MOVIMIENTOS!$F:$F,MOVIMIENTOS!$A:$A,DATE(PORTADA!$B$2,10,10),MOVIMIENTOS!$C:$C,Y$4))</f>
        <v/>
      </c>
      <c r="Z14" s="22">
        <f>IF(DAY(DATE(PORTADA!$B$2,10,10))&lt;&gt;10,"",SUMIFS(MOVIMIENTOS!$F:$F,MOVIMIENTOS!$A:$A,DATE(PORTADA!$B$2,10,10),MOVIMIENTOS!$C:$C,Z$4))</f>
        <v/>
      </c>
      <c r="AA14" s="22">
        <f>IF(DAY(DATE(PORTADA!$B$2,10,10))&lt;&gt;10,"",SUM(T14:Z14))</f>
        <v/>
      </c>
    </row>
    <row r="15">
      <c r="A15" s="2" t="inlineStr">
        <is>
          <t>EGRESOS</t>
        </is>
      </c>
      <c r="S15" s="21">
        <f>IF(DAY(DATE(PORTADA!$B$2,10,11))&lt;&gt;11,"",11)</f>
        <v/>
      </c>
      <c r="T15" s="22">
        <f>IF(DAY(DATE(PORTADA!$B$2,10,11))&lt;&gt;11,"",SUMIFS(MOVIMIENTOS!$F:$F,MOVIMIENTOS!$A:$A,DATE(PORTADA!$B$2,10,11),MOVIMIENTOS!$C:$C,T$4))</f>
        <v/>
      </c>
      <c r="U15" s="22">
        <f>IF(DAY(DATE(PORTADA!$B$2,10,11))&lt;&gt;11,"",SUMIFS(MOVIMIENTOS!$F:$F,MOVIMIENTOS!$A:$A,DATE(PORTADA!$B$2,10,11),MOVIMIENTOS!$C:$C,U$4))</f>
        <v/>
      </c>
      <c r="V15" s="22">
        <f>IF(DAY(DATE(PORTADA!$B$2,10,11))&lt;&gt;11,"",SUMIFS(MOVIMIENTOS!$F:$F,MOVIMIENTOS!$A:$A,DATE(PORTADA!$B$2,10,11),MOVIMIENTOS!$C:$C,V$4))</f>
        <v/>
      </c>
      <c r="W15" s="22">
        <f>IF(DAY(DATE(PORTADA!$B$2,10,11))&lt;&gt;11,"",SUMIFS(MOVIMIENTOS!$F:$F,MOVIMIENTOS!$A:$A,DATE(PORTADA!$B$2,10,11),MOVIMIENTOS!$C:$C,W$4))</f>
        <v/>
      </c>
      <c r="X15" s="22">
        <f>IF(DAY(DATE(PORTADA!$B$2,10,11))&lt;&gt;11,"",SUMIFS(MOVIMIENTOS!$F:$F,MOVIMIENTOS!$A:$A,DATE(PORTADA!$B$2,10,11),MOVIMIENTOS!$C:$C,X$4))</f>
        <v/>
      </c>
      <c r="Y15" s="22">
        <f>IF(DAY(DATE(PORTADA!$B$2,10,11))&lt;&gt;11,"",SUMIFS(MOVIMIENTOS!$F:$F,MOVIMIENTOS!$A:$A,DATE(PORTADA!$B$2,10,11),MOVIMIENTOS!$C:$C,Y$4))</f>
        <v/>
      </c>
      <c r="Z15" s="22">
        <f>IF(DAY(DATE(PORTADA!$B$2,10,11))&lt;&gt;11,"",SUMIFS(MOVIMIENTOS!$F:$F,MOVIMIENTOS!$A:$A,DATE(PORTADA!$B$2,10,11),MOVIMIENTOS!$C:$C,Z$4))</f>
        <v/>
      </c>
      <c r="AA15" s="22">
        <f>IF(DAY(DATE(PORTADA!$B$2,10,11))&lt;&gt;11,"",SUM(T15:Z15))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IF(DAY(DATE(PORTADA!$B$2,10,12))&lt;&gt;12,"",12)</f>
        <v/>
      </c>
      <c r="T16" s="22">
        <f>IF(DAY(DATE(PORTADA!$B$2,10,12))&lt;&gt;12,"",SUMIFS(MOVIMIENTOS!$F:$F,MOVIMIENTOS!$A:$A,DATE(PORTADA!$B$2,10,12),MOVIMIENTOS!$C:$C,T$4))</f>
        <v/>
      </c>
      <c r="U16" s="22">
        <f>IF(DAY(DATE(PORTADA!$B$2,10,12))&lt;&gt;12,"",SUMIFS(MOVIMIENTOS!$F:$F,MOVIMIENTOS!$A:$A,DATE(PORTADA!$B$2,10,12),MOVIMIENTOS!$C:$C,U$4))</f>
        <v/>
      </c>
      <c r="V16" s="22">
        <f>IF(DAY(DATE(PORTADA!$B$2,10,12))&lt;&gt;12,"",SUMIFS(MOVIMIENTOS!$F:$F,MOVIMIENTOS!$A:$A,DATE(PORTADA!$B$2,10,12),MOVIMIENTOS!$C:$C,V$4))</f>
        <v/>
      </c>
      <c r="W16" s="22">
        <f>IF(DAY(DATE(PORTADA!$B$2,10,12))&lt;&gt;12,"",SUMIFS(MOVIMIENTOS!$F:$F,MOVIMIENTOS!$A:$A,DATE(PORTADA!$B$2,10,12),MOVIMIENTOS!$C:$C,W$4))</f>
        <v/>
      </c>
      <c r="X16" s="22">
        <f>IF(DAY(DATE(PORTADA!$B$2,10,12))&lt;&gt;12,"",SUMIFS(MOVIMIENTOS!$F:$F,MOVIMIENTOS!$A:$A,DATE(PORTADA!$B$2,10,12),MOVIMIENTOS!$C:$C,X$4))</f>
        <v/>
      </c>
      <c r="Y16" s="22">
        <f>IF(DAY(DATE(PORTADA!$B$2,10,12))&lt;&gt;12,"",SUMIFS(MOVIMIENTOS!$F:$F,MOVIMIENTOS!$A:$A,DATE(PORTADA!$B$2,10,12),MOVIMIENTOS!$C:$C,Y$4))</f>
        <v/>
      </c>
      <c r="Z16" s="22">
        <f>IF(DAY(DATE(PORTADA!$B$2,10,12))&lt;&gt;12,"",SUMIFS(MOVIMIENTOS!$F:$F,MOVIMIENTOS!$A:$A,DATE(PORTADA!$B$2,10,12),MOVIMIENTOS!$C:$C,Z$4))</f>
        <v/>
      </c>
      <c r="AA16" s="22">
        <f>IF(DAY(DATE(PORTADA!$B$2,10,12))&lt;&gt;12,"",SUM(T16:Z16))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SUMIFS(MOVIMIENTOS!$F:$F,MOVIMIENTOS!$A:$A,"&gt;="&amp;DATE(PORTADA!$B$2,10,1),MOVIMIENTOS!$A:$A,"&lt;="&amp;EOMONTH(DATE(PORTADA!$B$2,10,1),0),MOVIMIENTOS!$D:$D,$B17)</f>
        <v/>
      </c>
      <c r="E17" s="8">
        <f>C17-D17</f>
        <v/>
      </c>
      <c r="F17" s="9">
        <f>IFERROR(D17/C17,"")</f>
        <v/>
      </c>
      <c r="S17" s="21">
        <f>IF(DAY(DATE(PORTADA!$B$2,10,13))&lt;&gt;13,"",13)</f>
        <v/>
      </c>
      <c r="T17" s="22">
        <f>IF(DAY(DATE(PORTADA!$B$2,10,13))&lt;&gt;13,"",SUMIFS(MOVIMIENTOS!$F:$F,MOVIMIENTOS!$A:$A,DATE(PORTADA!$B$2,10,13),MOVIMIENTOS!$C:$C,T$4))</f>
        <v/>
      </c>
      <c r="U17" s="22">
        <f>IF(DAY(DATE(PORTADA!$B$2,10,13))&lt;&gt;13,"",SUMIFS(MOVIMIENTOS!$F:$F,MOVIMIENTOS!$A:$A,DATE(PORTADA!$B$2,10,13),MOVIMIENTOS!$C:$C,U$4))</f>
        <v/>
      </c>
      <c r="V17" s="22">
        <f>IF(DAY(DATE(PORTADA!$B$2,10,13))&lt;&gt;13,"",SUMIFS(MOVIMIENTOS!$F:$F,MOVIMIENTOS!$A:$A,DATE(PORTADA!$B$2,10,13),MOVIMIENTOS!$C:$C,V$4))</f>
        <v/>
      </c>
      <c r="W17" s="22">
        <f>IF(DAY(DATE(PORTADA!$B$2,10,13))&lt;&gt;13,"",SUMIFS(MOVIMIENTOS!$F:$F,MOVIMIENTOS!$A:$A,DATE(PORTADA!$B$2,10,13),MOVIMIENTOS!$C:$C,W$4))</f>
        <v/>
      </c>
      <c r="X17" s="22">
        <f>IF(DAY(DATE(PORTADA!$B$2,10,13))&lt;&gt;13,"",SUMIFS(MOVIMIENTOS!$F:$F,MOVIMIENTOS!$A:$A,DATE(PORTADA!$B$2,10,13),MOVIMIENTOS!$C:$C,X$4))</f>
        <v/>
      </c>
      <c r="Y17" s="22">
        <f>IF(DAY(DATE(PORTADA!$B$2,10,13))&lt;&gt;13,"",SUMIFS(MOVIMIENTOS!$F:$F,MOVIMIENTOS!$A:$A,DATE(PORTADA!$B$2,10,13),MOVIMIENTOS!$C:$C,Y$4))</f>
        <v/>
      </c>
      <c r="Z17" s="22">
        <f>IF(DAY(DATE(PORTADA!$B$2,10,13))&lt;&gt;13,"",SUMIFS(MOVIMIENTOS!$F:$F,MOVIMIENTOS!$A:$A,DATE(PORTADA!$B$2,10,13),MOVIMIENTOS!$C:$C,Z$4))</f>
        <v/>
      </c>
      <c r="AA17" s="22">
        <f>IF(DAY(DATE(PORTADA!$B$2,10,13))&lt;&gt;13,"",SUM(T17:Z17))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SUMIFS(MOVIMIENTOS!$F:$F,MOVIMIENTOS!$A:$A,"&gt;="&amp;DATE(PORTADA!$B$2,10,1),MOVIMIENTOS!$A:$A,"&lt;="&amp;EOMONTH(DATE(PORTADA!$B$2,10,1),0),MOVIMIENTOS!$D:$D,$B18)</f>
        <v/>
      </c>
      <c r="E18" s="8">
        <f>C18-D18</f>
        <v/>
      </c>
      <c r="F18" s="9">
        <f>IFERROR(D18/C18,"")</f>
        <v/>
      </c>
      <c r="S18" s="21">
        <f>IF(DAY(DATE(PORTADA!$B$2,10,14))&lt;&gt;14,"",14)</f>
        <v/>
      </c>
      <c r="T18" s="22">
        <f>IF(DAY(DATE(PORTADA!$B$2,10,14))&lt;&gt;14,"",SUMIFS(MOVIMIENTOS!$F:$F,MOVIMIENTOS!$A:$A,DATE(PORTADA!$B$2,10,14),MOVIMIENTOS!$C:$C,T$4))</f>
        <v/>
      </c>
      <c r="U18" s="22">
        <f>IF(DAY(DATE(PORTADA!$B$2,10,14))&lt;&gt;14,"",SUMIFS(MOVIMIENTOS!$F:$F,MOVIMIENTOS!$A:$A,DATE(PORTADA!$B$2,10,14),MOVIMIENTOS!$C:$C,U$4))</f>
        <v/>
      </c>
      <c r="V18" s="22">
        <f>IF(DAY(DATE(PORTADA!$B$2,10,14))&lt;&gt;14,"",SUMIFS(MOVIMIENTOS!$F:$F,MOVIMIENTOS!$A:$A,DATE(PORTADA!$B$2,10,14),MOVIMIENTOS!$C:$C,V$4))</f>
        <v/>
      </c>
      <c r="W18" s="22">
        <f>IF(DAY(DATE(PORTADA!$B$2,10,14))&lt;&gt;14,"",SUMIFS(MOVIMIENTOS!$F:$F,MOVIMIENTOS!$A:$A,DATE(PORTADA!$B$2,10,14),MOVIMIENTOS!$C:$C,W$4))</f>
        <v/>
      </c>
      <c r="X18" s="22">
        <f>IF(DAY(DATE(PORTADA!$B$2,10,14))&lt;&gt;14,"",SUMIFS(MOVIMIENTOS!$F:$F,MOVIMIENTOS!$A:$A,DATE(PORTADA!$B$2,10,14),MOVIMIENTOS!$C:$C,X$4))</f>
        <v/>
      </c>
      <c r="Y18" s="22">
        <f>IF(DAY(DATE(PORTADA!$B$2,10,14))&lt;&gt;14,"",SUMIFS(MOVIMIENTOS!$F:$F,MOVIMIENTOS!$A:$A,DATE(PORTADA!$B$2,10,14),MOVIMIENTOS!$C:$C,Y$4))</f>
        <v/>
      </c>
      <c r="Z18" s="22">
        <f>IF(DAY(DATE(PORTADA!$B$2,10,14))&lt;&gt;14,"",SUMIFS(MOVIMIENTOS!$F:$F,MOVIMIENTOS!$A:$A,DATE(PORTADA!$B$2,10,14),MOVIMIENTOS!$C:$C,Z$4))</f>
        <v/>
      </c>
      <c r="AA18" s="22">
        <f>IF(DAY(DATE(PORTADA!$B$2,10,14))&lt;&gt;14,"",SUM(T18:Z18))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SUMIFS(MOVIMIENTOS!$F:$F,MOVIMIENTOS!$A:$A,"&gt;="&amp;DATE(PORTADA!$B$2,10,1),MOVIMIENTOS!$A:$A,"&lt;="&amp;EOMONTH(DATE(PORTADA!$B$2,10,1),0),MOVIMIENTOS!$D:$D,$B19)</f>
        <v/>
      </c>
      <c r="E19" s="8">
        <f>C19-D19</f>
        <v/>
      </c>
      <c r="F19" s="9">
        <f>IFERROR(D19/C19,"")</f>
        <v/>
      </c>
      <c r="S19" s="21">
        <f>IF(DAY(DATE(PORTADA!$B$2,10,15))&lt;&gt;15,"",15)</f>
        <v/>
      </c>
      <c r="T19" s="22">
        <f>IF(DAY(DATE(PORTADA!$B$2,10,15))&lt;&gt;15,"",SUMIFS(MOVIMIENTOS!$F:$F,MOVIMIENTOS!$A:$A,DATE(PORTADA!$B$2,10,15),MOVIMIENTOS!$C:$C,T$4))</f>
        <v/>
      </c>
      <c r="U19" s="22">
        <f>IF(DAY(DATE(PORTADA!$B$2,10,15))&lt;&gt;15,"",SUMIFS(MOVIMIENTOS!$F:$F,MOVIMIENTOS!$A:$A,DATE(PORTADA!$B$2,10,15),MOVIMIENTOS!$C:$C,U$4))</f>
        <v/>
      </c>
      <c r="V19" s="22">
        <f>IF(DAY(DATE(PORTADA!$B$2,10,15))&lt;&gt;15,"",SUMIFS(MOVIMIENTOS!$F:$F,MOVIMIENTOS!$A:$A,DATE(PORTADA!$B$2,10,15),MOVIMIENTOS!$C:$C,V$4))</f>
        <v/>
      </c>
      <c r="W19" s="22">
        <f>IF(DAY(DATE(PORTADA!$B$2,10,15))&lt;&gt;15,"",SUMIFS(MOVIMIENTOS!$F:$F,MOVIMIENTOS!$A:$A,DATE(PORTADA!$B$2,10,15),MOVIMIENTOS!$C:$C,W$4))</f>
        <v/>
      </c>
      <c r="X19" s="22">
        <f>IF(DAY(DATE(PORTADA!$B$2,10,15))&lt;&gt;15,"",SUMIFS(MOVIMIENTOS!$F:$F,MOVIMIENTOS!$A:$A,DATE(PORTADA!$B$2,10,15),MOVIMIENTOS!$C:$C,X$4))</f>
        <v/>
      </c>
      <c r="Y19" s="22">
        <f>IF(DAY(DATE(PORTADA!$B$2,10,15))&lt;&gt;15,"",SUMIFS(MOVIMIENTOS!$F:$F,MOVIMIENTOS!$A:$A,DATE(PORTADA!$B$2,10,15),MOVIMIENTOS!$C:$C,Y$4))</f>
        <v/>
      </c>
      <c r="Z19" s="22">
        <f>IF(DAY(DATE(PORTADA!$B$2,10,15))&lt;&gt;15,"",SUMIFS(MOVIMIENTOS!$F:$F,MOVIMIENTOS!$A:$A,DATE(PORTADA!$B$2,10,15),MOVIMIENTOS!$C:$C,Z$4))</f>
        <v/>
      </c>
      <c r="AA19" s="22">
        <f>IF(DAY(DATE(PORTADA!$B$2,10,15))&lt;&gt;15,"",SUM(T19:Z19))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SUMIFS(MOVIMIENTOS!$F:$F,MOVIMIENTOS!$A:$A,"&gt;="&amp;DATE(PORTADA!$B$2,10,1),MOVIMIENTOS!$A:$A,"&lt;="&amp;EOMONTH(DATE(PORTADA!$B$2,10,1),0),MOVIMIENTOS!$D:$D,$B20)</f>
        <v/>
      </c>
      <c r="E20" s="8">
        <f>C20-D20</f>
        <v/>
      </c>
      <c r="F20" s="9">
        <f>IFERROR(D20/C20,"")</f>
        <v/>
      </c>
      <c r="S20" s="21">
        <f>IF(DAY(DATE(PORTADA!$B$2,10,16))&lt;&gt;16,"",16)</f>
        <v/>
      </c>
      <c r="T20" s="22">
        <f>IF(DAY(DATE(PORTADA!$B$2,10,16))&lt;&gt;16,"",SUMIFS(MOVIMIENTOS!$F:$F,MOVIMIENTOS!$A:$A,DATE(PORTADA!$B$2,10,16),MOVIMIENTOS!$C:$C,T$4))</f>
        <v/>
      </c>
      <c r="U20" s="22">
        <f>IF(DAY(DATE(PORTADA!$B$2,10,16))&lt;&gt;16,"",SUMIFS(MOVIMIENTOS!$F:$F,MOVIMIENTOS!$A:$A,DATE(PORTADA!$B$2,10,16),MOVIMIENTOS!$C:$C,U$4))</f>
        <v/>
      </c>
      <c r="V20" s="22">
        <f>IF(DAY(DATE(PORTADA!$B$2,10,16))&lt;&gt;16,"",SUMIFS(MOVIMIENTOS!$F:$F,MOVIMIENTOS!$A:$A,DATE(PORTADA!$B$2,10,16),MOVIMIENTOS!$C:$C,V$4))</f>
        <v/>
      </c>
      <c r="W20" s="22">
        <f>IF(DAY(DATE(PORTADA!$B$2,10,16))&lt;&gt;16,"",SUMIFS(MOVIMIENTOS!$F:$F,MOVIMIENTOS!$A:$A,DATE(PORTADA!$B$2,10,16),MOVIMIENTOS!$C:$C,W$4))</f>
        <v/>
      </c>
      <c r="X20" s="22">
        <f>IF(DAY(DATE(PORTADA!$B$2,10,16))&lt;&gt;16,"",SUMIFS(MOVIMIENTOS!$F:$F,MOVIMIENTOS!$A:$A,DATE(PORTADA!$B$2,10,16),MOVIMIENTOS!$C:$C,X$4))</f>
        <v/>
      </c>
      <c r="Y20" s="22">
        <f>IF(DAY(DATE(PORTADA!$B$2,10,16))&lt;&gt;16,"",SUMIFS(MOVIMIENTOS!$F:$F,MOVIMIENTOS!$A:$A,DATE(PORTADA!$B$2,10,16),MOVIMIENTOS!$C:$C,Y$4))</f>
        <v/>
      </c>
      <c r="Z20" s="22">
        <f>IF(DAY(DATE(PORTADA!$B$2,10,16))&lt;&gt;16,"",SUMIFS(MOVIMIENTOS!$F:$F,MOVIMIENTOS!$A:$A,DATE(PORTADA!$B$2,10,16),MOVIMIENTOS!$C:$C,Z$4))</f>
        <v/>
      </c>
      <c r="AA20" s="22">
        <f>IF(DAY(DATE(PORTADA!$B$2,10,16))&lt;&gt;16,"",SUM(T20:Z20))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SUMIFS(MOVIMIENTOS!$F:$F,MOVIMIENTOS!$A:$A,"&gt;="&amp;DATE(PORTADA!$B$2,10,1),MOVIMIENTOS!$A:$A,"&lt;="&amp;EOMONTH(DATE(PORTADA!$B$2,10,1),0),MOVIMIENTOS!$D:$D,$B21)</f>
        <v/>
      </c>
      <c r="E21" s="8">
        <f>C21-D21</f>
        <v/>
      </c>
      <c r="F21" s="9">
        <f>IFERROR(D21/C21,"")</f>
        <v/>
      </c>
      <c r="S21" s="21">
        <f>IF(DAY(DATE(PORTADA!$B$2,10,17))&lt;&gt;17,"",17)</f>
        <v/>
      </c>
      <c r="T21" s="22">
        <f>IF(DAY(DATE(PORTADA!$B$2,10,17))&lt;&gt;17,"",SUMIFS(MOVIMIENTOS!$F:$F,MOVIMIENTOS!$A:$A,DATE(PORTADA!$B$2,10,17),MOVIMIENTOS!$C:$C,T$4))</f>
        <v/>
      </c>
      <c r="U21" s="22">
        <f>IF(DAY(DATE(PORTADA!$B$2,10,17))&lt;&gt;17,"",SUMIFS(MOVIMIENTOS!$F:$F,MOVIMIENTOS!$A:$A,DATE(PORTADA!$B$2,10,17),MOVIMIENTOS!$C:$C,U$4))</f>
        <v/>
      </c>
      <c r="V21" s="22">
        <f>IF(DAY(DATE(PORTADA!$B$2,10,17))&lt;&gt;17,"",SUMIFS(MOVIMIENTOS!$F:$F,MOVIMIENTOS!$A:$A,DATE(PORTADA!$B$2,10,17),MOVIMIENTOS!$C:$C,V$4))</f>
        <v/>
      </c>
      <c r="W21" s="22">
        <f>IF(DAY(DATE(PORTADA!$B$2,10,17))&lt;&gt;17,"",SUMIFS(MOVIMIENTOS!$F:$F,MOVIMIENTOS!$A:$A,DATE(PORTADA!$B$2,10,17),MOVIMIENTOS!$C:$C,W$4))</f>
        <v/>
      </c>
      <c r="X21" s="22">
        <f>IF(DAY(DATE(PORTADA!$B$2,10,17))&lt;&gt;17,"",SUMIFS(MOVIMIENTOS!$F:$F,MOVIMIENTOS!$A:$A,DATE(PORTADA!$B$2,10,17),MOVIMIENTOS!$C:$C,X$4))</f>
        <v/>
      </c>
      <c r="Y21" s="22">
        <f>IF(DAY(DATE(PORTADA!$B$2,10,17))&lt;&gt;17,"",SUMIFS(MOVIMIENTOS!$F:$F,MOVIMIENTOS!$A:$A,DATE(PORTADA!$B$2,10,17),MOVIMIENTOS!$C:$C,Y$4))</f>
        <v/>
      </c>
      <c r="Z21" s="22">
        <f>IF(DAY(DATE(PORTADA!$B$2,10,17))&lt;&gt;17,"",SUMIFS(MOVIMIENTOS!$F:$F,MOVIMIENTOS!$A:$A,DATE(PORTADA!$B$2,10,17),MOVIMIENTOS!$C:$C,Z$4))</f>
        <v/>
      </c>
      <c r="AA21" s="22">
        <f>IF(DAY(DATE(PORTADA!$B$2,10,17))&lt;&gt;17,"",SUM(T21:Z21))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SUMIFS(MOVIMIENTOS!$F:$F,MOVIMIENTOS!$A:$A,"&gt;="&amp;DATE(PORTADA!$B$2,10,1),MOVIMIENTOS!$A:$A,"&lt;="&amp;EOMONTH(DATE(PORTADA!$B$2,10,1),0),MOVIMIENTOS!$D:$D,$B22)</f>
        <v/>
      </c>
      <c r="E22" s="8">
        <f>C22-D22</f>
        <v/>
      </c>
      <c r="F22" s="9">
        <f>IFERROR(D22/C22,"")</f>
        <v/>
      </c>
      <c r="S22" s="21">
        <f>IF(DAY(DATE(PORTADA!$B$2,10,18))&lt;&gt;18,"",18)</f>
        <v/>
      </c>
      <c r="T22" s="22">
        <f>IF(DAY(DATE(PORTADA!$B$2,10,18))&lt;&gt;18,"",SUMIFS(MOVIMIENTOS!$F:$F,MOVIMIENTOS!$A:$A,DATE(PORTADA!$B$2,10,18),MOVIMIENTOS!$C:$C,T$4))</f>
        <v/>
      </c>
      <c r="U22" s="22">
        <f>IF(DAY(DATE(PORTADA!$B$2,10,18))&lt;&gt;18,"",SUMIFS(MOVIMIENTOS!$F:$F,MOVIMIENTOS!$A:$A,DATE(PORTADA!$B$2,10,18),MOVIMIENTOS!$C:$C,U$4))</f>
        <v/>
      </c>
      <c r="V22" s="22">
        <f>IF(DAY(DATE(PORTADA!$B$2,10,18))&lt;&gt;18,"",SUMIFS(MOVIMIENTOS!$F:$F,MOVIMIENTOS!$A:$A,DATE(PORTADA!$B$2,10,18),MOVIMIENTOS!$C:$C,V$4))</f>
        <v/>
      </c>
      <c r="W22" s="22">
        <f>IF(DAY(DATE(PORTADA!$B$2,10,18))&lt;&gt;18,"",SUMIFS(MOVIMIENTOS!$F:$F,MOVIMIENTOS!$A:$A,DATE(PORTADA!$B$2,10,18),MOVIMIENTOS!$C:$C,W$4))</f>
        <v/>
      </c>
      <c r="X22" s="22">
        <f>IF(DAY(DATE(PORTADA!$B$2,10,18))&lt;&gt;18,"",SUMIFS(MOVIMIENTOS!$F:$F,MOVIMIENTOS!$A:$A,DATE(PORTADA!$B$2,10,18),MOVIMIENTOS!$C:$C,X$4))</f>
        <v/>
      </c>
      <c r="Y22" s="22">
        <f>IF(DAY(DATE(PORTADA!$B$2,10,18))&lt;&gt;18,"",SUMIFS(MOVIMIENTOS!$F:$F,MOVIMIENTOS!$A:$A,DATE(PORTADA!$B$2,10,18),MOVIMIENTOS!$C:$C,Y$4))</f>
        <v/>
      </c>
      <c r="Z22" s="22">
        <f>IF(DAY(DATE(PORTADA!$B$2,10,18))&lt;&gt;18,"",SUMIFS(MOVIMIENTOS!$F:$F,MOVIMIENTOS!$A:$A,DATE(PORTADA!$B$2,10,18),MOVIMIENTOS!$C:$C,Z$4))</f>
        <v/>
      </c>
      <c r="AA22" s="22">
        <f>IF(DAY(DATE(PORTADA!$B$2,10,18))&lt;&gt;18,"",SUM(T22:Z22))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SUMIFS(MOVIMIENTOS!$F:$F,MOVIMIENTOS!$A:$A,"&gt;="&amp;DATE(PORTADA!$B$2,10,1),MOVIMIENTOS!$A:$A,"&lt;="&amp;EOMONTH(DATE(PORTADA!$B$2,10,1),0),MOVIMIENTOS!$D:$D,$B23)</f>
        <v/>
      </c>
      <c r="E23" s="8">
        <f>C23-D23</f>
        <v/>
      </c>
      <c r="F23" s="9">
        <f>IFERROR(D23/C23,"")</f>
        <v/>
      </c>
      <c r="S23" s="21">
        <f>IF(DAY(DATE(PORTADA!$B$2,10,19))&lt;&gt;19,"",19)</f>
        <v/>
      </c>
      <c r="T23" s="22">
        <f>IF(DAY(DATE(PORTADA!$B$2,10,19))&lt;&gt;19,"",SUMIFS(MOVIMIENTOS!$F:$F,MOVIMIENTOS!$A:$A,DATE(PORTADA!$B$2,10,19),MOVIMIENTOS!$C:$C,T$4))</f>
        <v/>
      </c>
      <c r="U23" s="22">
        <f>IF(DAY(DATE(PORTADA!$B$2,10,19))&lt;&gt;19,"",SUMIFS(MOVIMIENTOS!$F:$F,MOVIMIENTOS!$A:$A,DATE(PORTADA!$B$2,10,19),MOVIMIENTOS!$C:$C,U$4))</f>
        <v/>
      </c>
      <c r="V23" s="22">
        <f>IF(DAY(DATE(PORTADA!$B$2,10,19))&lt;&gt;19,"",SUMIFS(MOVIMIENTOS!$F:$F,MOVIMIENTOS!$A:$A,DATE(PORTADA!$B$2,10,19),MOVIMIENTOS!$C:$C,V$4))</f>
        <v/>
      </c>
      <c r="W23" s="22">
        <f>IF(DAY(DATE(PORTADA!$B$2,10,19))&lt;&gt;19,"",SUMIFS(MOVIMIENTOS!$F:$F,MOVIMIENTOS!$A:$A,DATE(PORTADA!$B$2,10,19),MOVIMIENTOS!$C:$C,W$4))</f>
        <v/>
      </c>
      <c r="X23" s="22">
        <f>IF(DAY(DATE(PORTADA!$B$2,10,19))&lt;&gt;19,"",SUMIFS(MOVIMIENTOS!$F:$F,MOVIMIENTOS!$A:$A,DATE(PORTADA!$B$2,10,19),MOVIMIENTOS!$C:$C,X$4))</f>
        <v/>
      </c>
      <c r="Y23" s="22">
        <f>IF(DAY(DATE(PORTADA!$B$2,10,19))&lt;&gt;19,"",SUMIFS(MOVIMIENTOS!$F:$F,MOVIMIENTOS!$A:$A,DATE(PORTADA!$B$2,10,19),MOVIMIENTOS!$C:$C,Y$4))</f>
        <v/>
      </c>
      <c r="Z23" s="22">
        <f>IF(DAY(DATE(PORTADA!$B$2,10,19))&lt;&gt;19,"",SUMIFS(MOVIMIENTOS!$F:$F,MOVIMIENTOS!$A:$A,DATE(PORTADA!$B$2,10,19),MOVIMIENTOS!$C:$C,Z$4))</f>
        <v/>
      </c>
      <c r="AA23" s="22">
        <f>IF(DAY(DATE(PORTADA!$B$2,10,19))&lt;&gt;19,"",SUM(T23:Z23))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SUMIFS(MOVIMIENTOS!$F:$F,MOVIMIENTOS!$A:$A,"&gt;="&amp;DATE(PORTADA!$B$2,10,1),MOVIMIENTOS!$A:$A,"&lt;="&amp;EOMONTH(DATE(PORTADA!$B$2,10,1),0),MOVIMIENTOS!$D:$D,$B24)</f>
        <v/>
      </c>
      <c r="E24" s="8">
        <f>C24-D24</f>
        <v/>
      </c>
      <c r="F24" s="9">
        <f>IFERROR(D24/C24,"")</f>
        <v/>
      </c>
      <c r="S24" s="21">
        <f>IF(DAY(DATE(PORTADA!$B$2,10,20))&lt;&gt;20,"",20)</f>
        <v/>
      </c>
      <c r="T24" s="22">
        <f>IF(DAY(DATE(PORTADA!$B$2,10,20))&lt;&gt;20,"",SUMIFS(MOVIMIENTOS!$F:$F,MOVIMIENTOS!$A:$A,DATE(PORTADA!$B$2,10,20),MOVIMIENTOS!$C:$C,T$4))</f>
        <v/>
      </c>
      <c r="U24" s="22">
        <f>IF(DAY(DATE(PORTADA!$B$2,10,20))&lt;&gt;20,"",SUMIFS(MOVIMIENTOS!$F:$F,MOVIMIENTOS!$A:$A,DATE(PORTADA!$B$2,10,20),MOVIMIENTOS!$C:$C,U$4))</f>
        <v/>
      </c>
      <c r="V24" s="22">
        <f>IF(DAY(DATE(PORTADA!$B$2,10,20))&lt;&gt;20,"",SUMIFS(MOVIMIENTOS!$F:$F,MOVIMIENTOS!$A:$A,DATE(PORTADA!$B$2,10,20),MOVIMIENTOS!$C:$C,V$4))</f>
        <v/>
      </c>
      <c r="W24" s="22">
        <f>IF(DAY(DATE(PORTADA!$B$2,10,20))&lt;&gt;20,"",SUMIFS(MOVIMIENTOS!$F:$F,MOVIMIENTOS!$A:$A,DATE(PORTADA!$B$2,10,20),MOVIMIENTOS!$C:$C,W$4))</f>
        <v/>
      </c>
      <c r="X24" s="22">
        <f>IF(DAY(DATE(PORTADA!$B$2,10,20))&lt;&gt;20,"",SUMIFS(MOVIMIENTOS!$F:$F,MOVIMIENTOS!$A:$A,DATE(PORTADA!$B$2,10,20),MOVIMIENTOS!$C:$C,X$4))</f>
        <v/>
      </c>
      <c r="Y24" s="22">
        <f>IF(DAY(DATE(PORTADA!$B$2,10,20))&lt;&gt;20,"",SUMIFS(MOVIMIENTOS!$F:$F,MOVIMIENTOS!$A:$A,DATE(PORTADA!$B$2,10,20),MOVIMIENTOS!$C:$C,Y$4))</f>
        <v/>
      </c>
      <c r="Z24" s="22">
        <f>IF(DAY(DATE(PORTADA!$B$2,10,20))&lt;&gt;20,"",SUMIFS(MOVIMIENTOS!$F:$F,MOVIMIENTOS!$A:$A,DATE(PORTADA!$B$2,10,20),MOVIMIENTOS!$C:$C,Z$4))</f>
        <v/>
      </c>
      <c r="AA24" s="22">
        <f>IF(DAY(DATE(PORTADA!$B$2,10,20))&lt;&gt;20,"",SUM(T24:Z24))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SUMIFS(MOVIMIENTOS!$F:$F,MOVIMIENTOS!$A:$A,"&gt;="&amp;DATE(PORTADA!$B$2,10,1),MOVIMIENTOS!$A:$A,"&lt;="&amp;EOMONTH(DATE(PORTADA!$B$2,10,1),0),MOVIMIENTOS!$D:$D,$B25)</f>
        <v/>
      </c>
      <c r="E25" s="8">
        <f>C25-D25</f>
        <v/>
      </c>
      <c r="F25" s="9">
        <f>IFERROR(D25/C25,"")</f>
        <v/>
      </c>
      <c r="S25" s="21">
        <f>IF(DAY(DATE(PORTADA!$B$2,10,21))&lt;&gt;21,"",21)</f>
        <v/>
      </c>
      <c r="T25" s="22">
        <f>IF(DAY(DATE(PORTADA!$B$2,10,21))&lt;&gt;21,"",SUMIFS(MOVIMIENTOS!$F:$F,MOVIMIENTOS!$A:$A,DATE(PORTADA!$B$2,10,21),MOVIMIENTOS!$C:$C,T$4))</f>
        <v/>
      </c>
      <c r="U25" s="22">
        <f>IF(DAY(DATE(PORTADA!$B$2,10,21))&lt;&gt;21,"",SUMIFS(MOVIMIENTOS!$F:$F,MOVIMIENTOS!$A:$A,DATE(PORTADA!$B$2,10,21),MOVIMIENTOS!$C:$C,U$4))</f>
        <v/>
      </c>
      <c r="V25" s="22">
        <f>IF(DAY(DATE(PORTADA!$B$2,10,21))&lt;&gt;21,"",SUMIFS(MOVIMIENTOS!$F:$F,MOVIMIENTOS!$A:$A,DATE(PORTADA!$B$2,10,21),MOVIMIENTOS!$C:$C,V$4))</f>
        <v/>
      </c>
      <c r="W25" s="22">
        <f>IF(DAY(DATE(PORTADA!$B$2,10,21))&lt;&gt;21,"",SUMIFS(MOVIMIENTOS!$F:$F,MOVIMIENTOS!$A:$A,DATE(PORTADA!$B$2,10,21),MOVIMIENTOS!$C:$C,W$4))</f>
        <v/>
      </c>
      <c r="X25" s="22">
        <f>IF(DAY(DATE(PORTADA!$B$2,10,21))&lt;&gt;21,"",SUMIFS(MOVIMIENTOS!$F:$F,MOVIMIENTOS!$A:$A,DATE(PORTADA!$B$2,10,21),MOVIMIENTOS!$C:$C,X$4))</f>
        <v/>
      </c>
      <c r="Y25" s="22">
        <f>IF(DAY(DATE(PORTADA!$B$2,10,21))&lt;&gt;21,"",SUMIFS(MOVIMIENTOS!$F:$F,MOVIMIENTOS!$A:$A,DATE(PORTADA!$B$2,10,21),MOVIMIENTOS!$C:$C,Y$4))</f>
        <v/>
      </c>
      <c r="Z25" s="22">
        <f>IF(DAY(DATE(PORTADA!$B$2,10,21))&lt;&gt;21,"",SUMIFS(MOVIMIENTOS!$F:$F,MOVIMIENTOS!$A:$A,DATE(PORTADA!$B$2,10,21),MOVIMIENTOS!$C:$C,Z$4))</f>
        <v/>
      </c>
      <c r="AA25" s="22">
        <f>IF(DAY(DATE(PORTADA!$B$2,10,21))&lt;&gt;21,"",SUM(T25:Z25))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SUMIFS(MOVIMIENTOS!$F:$F,MOVIMIENTOS!$A:$A,"&gt;="&amp;DATE(PORTADA!$B$2,10,1),MOVIMIENTOS!$A:$A,"&lt;="&amp;EOMONTH(DATE(PORTADA!$B$2,10,1),0),MOVIMIENTOS!$D:$D,$B26)</f>
        <v/>
      </c>
      <c r="E26" s="8">
        <f>C26-D26</f>
        <v/>
      </c>
      <c r="F26" s="9">
        <f>IFERROR(D26/C26,"")</f>
        <v/>
      </c>
      <c r="S26" s="21">
        <f>IF(DAY(DATE(PORTADA!$B$2,10,22))&lt;&gt;22,"",22)</f>
        <v/>
      </c>
      <c r="T26" s="22">
        <f>IF(DAY(DATE(PORTADA!$B$2,10,22))&lt;&gt;22,"",SUMIFS(MOVIMIENTOS!$F:$F,MOVIMIENTOS!$A:$A,DATE(PORTADA!$B$2,10,22),MOVIMIENTOS!$C:$C,T$4))</f>
        <v/>
      </c>
      <c r="U26" s="22">
        <f>IF(DAY(DATE(PORTADA!$B$2,10,22))&lt;&gt;22,"",SUMIFS(MOVIMIENTOS!$F:$F,MOVIMIENTOS!$A:$A,DATE(PORTADA!$B$2,10,22),MOVIMIENTOS!$C:$C,U$4))</f>
        <v/>
      </c>
      <c r="V26" s="22">
        <f>IF(DAY(DATE(PORTADA!$B$2,10,22))&lt;&gt;22,"",SUMIFS(MOVIMIENTOS!$F:$F,MOVIMIENTOS!$A:$A,DATE(PORTADA!$B$2,10,22),MOVIMIENTOS!$C:$C,V$4))</f>
        <v/>
      </c>
      <c r="W26" s="22">
        <f>IF(DAY(DATE(PORTADA!$B$2,10,22))&lt;&gt;22,"",SUMIFS(MOVIMIENTOS!$F:$F,MOVIMIENTOS!$A:$A,DATE(PORTADA!$B$2,10,22),MOVIMIENTOS!$C:$C,W$4))</f>
        <v/>
      </c>
      <c r="X26" s="22">
        <f>IF(DAY(DATE(PORTADA!$B$2,10,22))&lt;&gt;22,"",SUMIFS(MOVIMIENTOS!$F:$F,MOVIMIENTOS!$A:$A,DATE(PORTADA!$B$2,10,22),MOVIMIENTOS!$C:$C,X$4))</f>
        <v/>
      </c>
      <c r="Y26" s="22">
        <f>IF(DAY(DATE(PORTADA!$B$2,10,22))&lt;&gt;22,"",SUMIFS(MOVIMIENTOS!$F:$F,MOVIMIENTOS!$A:$A,DATE(PORTADA!$B$2,10,22),MOVIMIENTOS!$C:$C,Y$4))</f>
        <v/>
      </c>
      <c r="Z26" s="22">
        <f>IF(DAY(DATE(PORTADA!$B$2,10,22))&lt;&gt;22,"",SUMIFS(MOVIMIENTOS!$F:$F,MOVIMIENTOS!$A:$A,DATE(PORTADA!$B$2,10,22),MOVIMIENTOS!$C:$C,Z$4))</f>
        <v/>
      </c>
      <c r="AA26" s="22">
        <f>IF(DAY(DATE(PORTADA!$B$2,10,22))&lt;&gt;22,"",SUM(T26:Z26))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SUMIFS(MOVIMIENTOS!$F:$F,MOVIMIENTOS!$A:$A,"&gt;="&amp;DATE(PORTADA!$B$2,10,1),MOVIMIENTOS!$A:$A,"&lt;="&amp;EOMONTH(DATE(PORTADA!$B$2,10,1),0),MOVIMIENTOS!$D:$D,$B27)</f>
        <v/>
      </c>
      <c r="E27" s="8">
        <f>C27-D27</f>
        <v/>
      </c>
      <c r="F27" s="9">
        <f>IFERROR(D27/C27,"")</f>
        <v/>
      </c>
      <c r="S27" s="21">
        <f>IF(DAY(DATE(PORTADA!$B$2,10,23))&lt;&gt;23,"",23)</f>
        <v/>
      </c>
      <c r="T27" s="22">
        <f>IF(DAY(DATE(PORTADA!$B$2,10,23))&lt;&gt;23,"",SUMIFS(MOVIMIENTOS!$F:$F,MOVIMIENTOS!$A:$A,DATE(PORTADA!$B$2,10,23),MOVIMIENTOS!$C:$C,T$4))</f>
        <v/>
      </c>
      <c r="U27" s="22">
        <f>IF(DAY(DATE(PORTADA!$B$2,10,23))&lt;&gt;23,"",SUMIFS(MOVIMIENTOS!$F:$F,MOVIMIENTOS!$A:$A,DATE(PORTADA!$B$2,10,23),MOVIMIENTOS!$C:$C,U$4))</f>
        <v/>
      </c>
      <c r="V27" s="22">
        <f>IF(DAY(DATE(PORTADA!$B$2,10,23))&lt;&gt;23,"",SUMIFS(MOVIMIENTOS!$F:$F,MOVIMIENTOS!$A:$A,DATE(PORTADA!$B$2,10,23),MOVIMIENTOS!$C:$C,V$4))</f>
        <v/>
      </c>
      <c r="W27" s="22">
        <f>IF(DAY(DATE(PORTADA!$B$2,10,23))&lt;&gt;23,"",SUMIFS(MOVIMIENTOS!$F:$F,MOVIMIENTOS!$A:$A,DATE(PORTADA!$B$2,10,23),MOVIMIENTOS!$C:$C,W$4))</f>
        <v/>
      </c>
      <c r="X27" s="22">
        <f>IF(DAY(DATE(PORTADA!$B$2,10,23))&lt;&gt;23,"",SUMIFS(MOVIMIENTOS!$F:$F,MOVIMIENTOS!$A:$A,DATE(PORTADA!$B$2,10,23),MOVIMIENTOS!$C:$C,X$4))</f>
        <v/>
      </c>
      <c r="Y27" s="22">
        <f>IF(DAY(DATE(PORTADA!$B$2,10,23))&lt;&gt;23,"",SUMIFS(MOVIMIENTOS!$F:$F,MOVIMIENTOS!$A:$A,DATE(PORTADA!$B$2,10,23),MOVIMIENTOS!$C:$C,Y$4))</f>
        <v/>
      </c>
      <c r="Z27" s="22">
        <f>IF(DAY(DATE(PORTADA!$B$2,10,23))&lt;&gt;23,"",SUMIFS(MOVIMIENTOS!$F:$F,MOVIMIENTOS!$A:$A,DATE(PORTADA!$B$2,10,23),MOVIMIENTOS!$C:$C,Z$4))</f>
        <v/>
      </c>
      <c r="AA27" s="22">
        <f>IF(DAY(DATE(PORTADA!$B$2,10,23))&lt;&gt;23,"",SUM(T27:Z27))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SUMIFS(MOVIMIENTOS!$F:$F,MOVIMIENTOS!$A:$A,"&gt;="&amp;DATE(PORTADA!$B$2,10,1),MOVIMIENTOS!$A:$A,"&lt;="&amp;EOMONTH(DATE(PORTADA!$B$2,10,1),0),MOVIMIENTOS!$D:$D,$B28)</f>
        <v/>
      </c>
      <c r="E28" s="8">
        <f>C28-D28</f>
        <v/>
      </c>
      <c r="F28" s="9">
        <f>IFERROR(D28/C28,"")</f>
        <v/>
      </c>
      <c r="S28" s="21">
        <f>IF(DAY(DATE(PORTADA!$B$2,10,24))&lt;&gt;24,"",24)</f>
        <v/>
      </c>
      <c r="T28" s="22">
        <f>IF(DAY(DATE(PORTADA!$B$2,10,24))&lt;&gt;24,"",SUMIFS(MOVIMIENTOS!$F:$F,MOVIMIENTOS!$A:$A,DATE(PORTADA!$B$2,10,24),MOVIMIENTOS!$C:$C,T$4))</f>
        <v/>
      </c>
      <c r="U28" s="22">
        <f>IF(DAY(DATE(PORTADA!$B$2,10,24))&lt;&gt;24,"",SUMIFS(MOVIMIENTOS!$F:$F,MOVIMIENTOS!$A:$A,DATE(PORTADA!$B$2,10,24),MOVIMIENTOS!$C:$C,U$4))</f>
        <v/>
      </c>
      <c r="V28" s="22">
        <f>IF(DAY(DATE(PORTADA!$B$2,10,24))&lt;&gt;24,"",SUMIFS(MOVIMIENTOS!$F:$F,MOVIMIENTOS!$A:$A,DATE(PORTADA!$B$2,10,24),MOVIMIENTOS!$C:$C,V$4))</f>
        <v/>
      </c>
      <c r="W28" s="22">
        <f>IF(DAY(DATE(PORTADA!$B$2,10,24))&lt;&gt;24,"",SUMIFS(MOVIMIENTOS!$F:$F,MOVIMIENTOS!$A:$A,DATE(PORTADA!$B$2,10,24),MOVIMIENTOS!$C:$C,W$4))</f>
        <v/>
      </c>
      <c r="X28" s="22">
        <f>IF(DAY(DATE(PORTADA!$B$2,10,24))&lt;&gt;24,"",SUMIFS(MOVIMIENTOS!$F:$F,MOVIMIENTOS!$A:$A,DATE(PORTADA!$B$2,10,24),MOVIMIENTOS!$C:$C,X$4))</f>
        <v/>
      </c>
      <c r="Y28" s="22">
        <f>IF(DAY(DATE(PORTADA!$B$2,10,24))&lt;&gt;24,"",SUMIFS(MOVIMIENTOS!$F:$F,MOVIMIENTOS!$A:$A,DATE(PORTADA!$B$2,10,24),MOVIMIENTOS!$C:$C,Y$4))</f>
        <v/>
      </c>
      <c r="Z28" s="22">
        <f>IF(DAY(DATE(PORTADA!$B$2,10,24))&lt;&gt;24,"",SUMIFS(MOVIMIENTOS!$F:$F,MOVIMIENTOS!$A:$A,DATE(PORTADA!$B$2,10,24),MOVIMIENTOS!$C:$C,Z$4))</f>
        <v/>
      </c>
      <c r="AA28" s="22">
        <f>IF(DAY(DATE(PORTADA!$B$2,10,24))&lt;&gt;24,"",SUM(T28:Z28))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SUMIFS(MOVIMIENTOS!$F:$F,MOVIMIENTOS!$A:$A,"&gt;="&amp;DATE(PORTADA!$B$2,10,1),MOVIMIENTOS!$A:$A,"&lt;="&amp;EOMONTH(DATE(PORTADA!$B$2,10,1),0),MOVIMIENTOS!$D:$D,$B29)</f>
        <v/>
      </c>
      <c r="E29" s="8">
        <f>C29-D29</f>
        <v/>
      </c>
      <c r="F29" s="9">
        <f>IFERROR(D29/C29,"")</f>
        <v/>
      </c>
      <c r="S29" s="21">
        <f>IF(DAY(DATE(PORTADA!$B$2,10,25))&lt;&gt;25,"",25)</f>
        <v/>
      </c>
      <c r="T29" s="22">
        <f>IF(DAY(DATE(PORTADA!$B$2,10,25))&lt;&gt;25,"",SUMIFS(MOVIMIENTOS!$F:$F,MOVIMIENTOS!$A:$A,DATE(PORTADA!$B$2,10,25),MOVIMIENTOS!$C:$C,T$4))</f>
        <v/>
      </c>
      <c r="U29" s="22">
        <f>IF(DAY(DATE(PORTADA!$B$2,10,25))&lt;&gt;25,"",SUMIFS(MOVIMIENTOS!$F:$F,MOVIMIENTOS!$A:$A,DATE(PORTADA!$B$2,10,25),MOVIMIENTOS!$C:$C,U$4))</f>
        <v/>
      </c>
      <c r="V29" s="22">
        <f>IF(DAY(DATE(PORTADA!$B$2,10,25))&lt;&gt;25,"",SUMIFS(MOVIMIENTOS!$F:$F,MOVIMIENTOS!$A:$A,DATE(PORTADA!$B$2,10,25),MOVIMIENTOS!$C:$C,V$4))</f>
        <v/>
      </c>
      <c r="W29" s="22">
        <f>IF(DAY(DATE(PORTADA!$B$2,10,25))&lt;&gt;25,"",SUMIFS(MOVIMIENTOS!$F:$F,MOVIMIENTOS!$A:$A,DATE(PORTADA!$B$2,10,25),MOVIMIENTOS!$C:$C,W$4))</f>
        <v/>
      </c>
      <c r="X29" s="22">
        <f>IF(DAY(DATE(PORTADA!$B$2,10,25))&lt;&gt;25,"",SUMIFS(MOVIMIENTOS!$F:$F,MOVIMIENTOS!$A:$A,DATE(PORTADA!$B$2,10,25),MOVIMIENTOS!$C:$C,X$4))</f>
        <v/>
      </c>
      <c r="Y29" s="22">
        <f>IF(DAY(DATE(PORTADA!$B$2,10,25))&lt;&gt;25,"",SUMIFS(MOVIMIENTOS!$F:$F,MOVIMIENTOS!$A:$A,DATE(PORTADA!$B$2,10,25),MOVIMIENTOS!$C:$C,Y$4))</f>
        <v/>
      </c>
      <c r="Z29" s="22">
        <f>IF(DAY(DATE(PORTADA!$B$2,10,25))&lt;&gt;25,"",SUMIFS(MOVIMIENTOS!$F:$F,MOVIMIENTOS!$A:$A,DATE(PORTADA!$B$2,10,25),MOVIMIENTOS!$C:$C,Z$4))</f>
        <v/>
      </c>
      <c r="AA29" s="22">
        <f>IF(DAY(DATE(PORTADA!$B$2,10,25))&lt;&gt;25,"",SUM(T29:Z29))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SUMIFS(MOVIMIENTOS!$F:$F,MOVIMIENTOS!$A:$A,"&gt;="&amp;DATE(PORTADA!$B$2,10,1),MOVIMIENTOS!$A:$A,"&lt;="&amp;EOMONTH(DATE(PORTADA!$B$2,10,1),0),MOVIMIENTOS!$D:$D,$B30)</f>
        <v/>
      </c>
      <c r="E30" s="8">
        <f>C30-D30</f>
        <v/>
      </c>
      <c r="F30" s="9">
        <f>IFERROR(D30/C30,"")</f>
        <v/>
      </c>
      <c r="S30" s="21">
        <f>IF(DAY(DATE(PORTADA!$B$2,10,26))&lt;&gt;26,"",26)</f>
        <v/>
      </c>
      <c r="T30" s="22">
        <f>IF(DAY(DATE(PORTADA!$B$2,10,26))&lt;&gt;26,"",SUMIFS(MOVIMIENTOS!$F:$F,MOVIMIENTOS!$A:$A,DATE(PORTADA!$B$2,10,26),MOVIMIENTOS!$C:$C,T$4))</f>
        <v/>
      </c>
      <c r="U30" s="22">
        <f>IF(DAY(DATE(PORTADA!$B$2,10,26))&lt;&gt;26,"",SUMIFS(MOVIMIENTOS!$F:$F,MOVIMIENTOS!$A:$A,DATE(PORTADA!$B$2,10,26),MOVIMIENTOS!$C:$C,U$4))</f>
        <v/>
      </c>
      <c r="V30" s="22">
        <f>IF(DAY(DATE(PORTADA!$B$2,10,26))&lt;&gt;26,"",SUMIFS(MOVIMIENTOS!$F:$F,MOVIMIENTOS!$A:$A,DATE(PORTADA!$B$2,10,26),MOVIMIENTOS!$C:$C,V$4))</f>
        <v/>
      </c>
      <c r="W30" s="22">
        <f>IF(DAY(DATE(PORTADA!$B$2,10,26))&lt;&gt;26,"",SUMIFS(MOVIMIENTOS!$F:$F,MOVIMIENTOS!$A:$A,DATE(PORTADA!$B$2,10,26),MOVIMIENTOS!$C:$C,W$4))</f>
        <v/>
      </c>
      <c r="X30" s="22">
        <f>IF(DAY(DATE(PORTADA!$B$2,10,26))&lt;&gt;26,"",SUMIFS(MOVIMIENTOS!$F:$F,MOVIMIENTOS!$A:$A,DATE(PORTADA!$B$2,10,26),MOVIMIENTOS!$C:$C,X$4))</f>
        <v/>
      </c>
      <c r="Y30" s="22">
        <f>IF(DAY(DATE(PORTADA!$B$2,10,26))&lt;&gt;26,"",SUMIFS(MOVIMIENTOS!$F:$F,MOVIMIENTOS!$A:$A,DATE(PORTADA!$B$2,10,26),MOVIMIENTOS!$C:$C,Y$4))</f>
        <v/>
      </c>
      <c r="Z30" s="22">
        <f>IF(DAY(DATE(PORTADA!$B$2,10,26))&lt;&gt;26,"",SUMIFS(MOVIMIENTOS!$F:$F,MOVIMIENTOS!$A:$A,DATE(PORTADA!$B$2,10,26),MOVIMIENTOS!$C:$C,Z$4))</f>
        <v/>
      </c>
      <c r="AA30" s="22">
        <f>IF(DAY(DATE(PORTADA!$B$2,10,26))&lt;&gt;26,"",SUM(T30:Z30))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SUMIFS(MOVIMIENTOS!$F:$F,MOVIMIENTOS!$A:$A,"&gt;="&amp;DATE(PORTADA!$B$2,10,1),MOVIMIENTOS!$A:$A,"&lt;="&amp;EOMONTH(DATE(PORTADA!$B$2,10,1),0),MOVIMIENTOS!$D:$D,$B31)</f>
        <v/>
      </c>
      <c r="E31" s="8">
        <f>C31-D31</f>
        <v/>
      </c>
      <c r="F31" s="9">
        <f>IFERROR(D31/C31,"")</f>
        <v/>
      </c>
      <c r="S31" s="21">
        <f>IF(DAY(DATE(PORTADA!$B$2,10,27))&lt;&gt;27,"",27)</f>
        <v/>
      </c>
      <c r="T31" s="22">
        <f>IF(DAY(DATE(PORTADA!$B$2,10,27))&lt;&gt;27,"",SUMIFS(MOVIMIENTOS!$F:$F,MOVIMIENTOS!$A:$A,DATE(PORTADA!$B$2,10,27),MOVIMIENTOS!$C:$C,T$4))</f>
        <v/>
      </c>
      <c r="U31" s="22">
        <f>IF(DAY(DATE(PORTADA!$B$2,10,27))&lt;&gt;27,"",SUMIFS(MOVIMIENTOS!$F:$F,MOVIMIENTOS!$A:$A,DATE(PORTADA!$B$2,10,27),MOVIMIENTOS!$C:$C,U$4))</f>
        <v/>
      </c>
      <c r="V31" s="22">
        <f>IF(DAY(DATE(PORTADA!$B$2,10,27))&lt;&gt;27,"",SUMIFS(MOVIMIENTOS!$F:$F,MOVIMIENTOS!$A:$A,DATE(PORTADA!$B$2,10,27),MOVIMIENTOS!$C:$C,V$4))</f>
        <v/>
      </c>
      <c r="W31" s="22">
        <f>IF(DAY(DATE(PORTADA!$B$2,10,27))&lt;&gt;27,"",SUMIFS(MOVIMIENTOS!$F:$F,MOVIMIENTOS!$A:$A,DATE(PORTADA!$B$2,10,27),MOVIMIENTOS!$C:$C,W$4))</f>
        <v/>
      </c>
      <c r="X31" s="22">
        <f>IF(DAY(DATE(PORTADA!$B$2,10,27))&lt;&gt;27,"",SUMIFS(MOVIMIENTOS!$F:$F,MOVIMIENTOS!$A:$A,DATE(PORTADA!$B$2,10,27),MOVIMIENTOS!$C:$C,X$4))</f>
        <v/>
      </c>
      <c r="Y31" s="22">
        <f>IF(DAY(DATE(PORTADA!$B$2,10,27))&lt;&gt;27,"",SUMIFS(MOVIMIENTOS!$F:$F,MOVIMIENTOS!$A:$A,DATE(PORTADA!$B$2,10,27),MOVIMIENTOS!$C:$C,Y$4))</f>
        <v/>
      </c>
      <c r="Z31" s="22">
        <f>IF(DAY(DATE(PORTADA!$B$2,10,27))&lt;&gt;27,"",SUMIFS(MOVIMIENTOS!$F:$F,MOVIMIENTOS!$A:$A,DATE(PORTADA!$B$2,10,27),MOVIMIENTOS!$C:$C,Z$4))</f>
        <v/>
      </c>
      <c r="AA31" s="22">
        <f>IF(DAY(DATE(PORTADA!$B$2,10,27))&lt;&gt;27,"",SUM(T31:Z31))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SUMIFS(MOVIMIENTOS!$F:$F,MOVIMIENTOS!$A:$A,"&gt;="&amp;DATE(PORTADA!$B$2,10,1),MOVIMIENTOS!$A:$A,"&lt;="&amp;EOMONTH(DATE(PORTADA!$B$2,10,1),0),MOVIMIENTOS!$D:$D,$B32)</f>
        <v/>
      </c>
      <c r="E32" s="8">
        <f>C32-D32</f>
        <v/>
      </c>
      <c r="F32" s="9">
        <f>IFERROR(D32/C32,"")</f>
        <v/>
      </c>
      <c r="S32" s="21">
        <f>IF(DAY(DATE(PORTADA!$B$2,10,28))&lt;&gt;28,"",28)</f>
        <v/>
      </c>
      <c r="T32" s="22">
        <f>IF(DAY(DATE(PORTADA!$B$2,10,28))&lt;&gt;28,"",SUMIFS(MOVIMIENTOS!$F:$F,MOVIMIENTOS!$A:$A,DATE(PORTADA!$B$2,10,28),MOVIMIENTOS!$C:$C,T$4))</f>
        <v/>
      </c>
      <c r="U32" s="22">
        <f>IF(DAY(DATE(PORTADA!$B$2,10,28))&lt;&gt;28,"",SUMIFS(MOVIMIENTOS!$F:$F,MOVIMIENTOS!$A:$A,DATE(PORTADA!$B$2,10,28),MOVIMIENTOS!$C:$C,U$4))</f>
        <v/>
      </c>
      <c r="V32" s="22">
        <f>IF(DAY(DATE(PORTADA!$B$2,10,28))&lt;&gt;28,"",SUMIFS(MOVIMIENTOS!$F:$F,MOVIMIENTOS!$A:$A,DATE(PORTADA!$B$2,10,28),MOVIMIENTOS!$C:$C,V$4))</f>
        <v/>
      </c>
      <c r="W32" s="22">
        <f>IF(DAY(DATE(PORTADA!$B$2,10,28))&lt;&gt;28,"",SUMIFS(MOVIMIENTOS!$F:$F,MOVIMIENTOS!$A:$A,DATE(PORTADA!$B$2,10,28),MOVIMIENTOS!$C:$C,W$4))</f>
        <v/>
      </c>
      <c r="X32" s="22">
        <f>IF(DAY(DATE(PORTADA!$B$2,10,28))&lt;&gt;28,"",SUMIFS(MOVIMIENTOS!$F:$F,MOVIMIENTOS!$A:$A,DATE(PORTADA!$B$2,10,28),MOVIMIENTOS!$C:$C,X$4))</f>
        <v/>
      </c>
      <c r="Y32" s="22">
        <f>IF(DAY(DATE(PORTADA!$B$2,10,28))&lt;&gt;28,"",SUMIFS(MOVIMIENTOS!$F:$F,MOVIMIENTOS!$A:$A,DATE(PORTADA!$B$2,10,28),MOVIMIENTOS!$C:$C,Y$4))</f>
        <v/>
      </c>
      <c r="Z32" s="22">
        <f>IF(DAY(DATE(PORTADA!$B$2,10,28))&lt;&gt;28,"",SUMIFS(MOVIMIENTOS!$F:$F,MOVIMIENTOS!$A:$A,DATE(PORTADA!$B$2,10,28),MOVIMIENTOS!$C:$C,Z$4))</f>
        <v/>
      </c>
      <c r="AA32" s="22">
        <f>IF(DAY(DATE(PORTADA!$B$2,10,28))&lt;&gt;28,"",SUM(T32:Z32))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SUMIFS(MOVIMIENTOS!$F:$F,MOVIMIENTOS!$A:$A,"&gt;="&amp;DATE(PORTADA!$B$2,10,1),MOVIMIENTOS!$A:$A,"&lt;="&amp;EOMONTH(DATE(PORTADA!$B$2,10,1),0),MOVIMIENTOS!$D:$D,$B33)</f>
        <v/>
      </c>
      <c r="E33" s="8">
        <f>C33-D33</f>
        <v/>
      </c>
      <c r="F33" s="9">
        <f>IFERROR(D33/C33,"")</f>
        <v/>
      </c>
      <c r="S33" s="21">
        <f>IF(DAY(DATE(PORTADA!$B$2,10,29))&lt;&gt;29,"",29)</f>
        <v/>
      </c>
      <c r="T33" s="22">
        <f>IF(DAY(DATE(PORTADA!$B$2,10,29))&lt;&gt;29,"",SUMIFS(MOVIMIENTOS!$F:$F,MOVIMIENTOS!$A:$A,DATE(PORTADA!$B$2,10,29),MOVIMIENTOS!$C:$C,T$4))</f>
        <v/>
      </c>
      <c r="U33" s="22">
        <f>IF(DAY(DATE(PORTADA!$B$2,10,29))&lt;&gt;29,"",SUMIFS(MOVIMIENTOS!$F:$F,MOVIMIENTOS!$A:$A,DATE(PORTADA!$B$2,10,29),MOVIMIENTOS!$C:$C,U$4))</f>
        <v/>
      </c>
      <c r="V33" s="22">
        <f>IF(DAY(DATE(PORTADA!$B$2,10,29))&lt;&gt;29,"",SUMIFS(MOVIMIENTOS!$F:$F,MOVIMIENTOS!$A:$A,DATE(PORTADA!$B$2,10,29),MOVIMIENTOS!$C:$C,V$4))</f>
        <v/>
      </c>
      <c r="W33" s="22">
        <f>IF(DAY(DATE(PORTADA!$B$2,10,29))&lt;&gt;29,"",SUMIFS(MOVIMIENTOS!$F:$F,MOVIMIENTOS!$A:$A,DATE(PORTADA!$B$2,10,29),MOVIMIENTOS!$C:$C,W$4))</f>
        <v/>
      </c>
      <c r="X33" s="22">
        <f>IF(DAY(DATE(PORTADA!$B$2,10,29))&lt;&gt;29,"",SUMIFS(MOVIMIENTOS!$F:$F,MOVIMIENTOS!$A:$A,DATE(PORTADA!$B$2,10,29),MOVIMIENTOS!$C:$C,X$4))</f>
        <v/>
      </c>
      <c r="Y33" s="22">
        <f>IF(DAY(DATE(PORTADA!$B$2,10,29))&lt;&gt;29,"",SUMIFS(MOVIMIENTOS!$F:$F,MOVIMIENTOS!$A:$A,DATE(PORTADA!$B$2,10,29),MOVIMIENTOS!$C:$C,Y$4))</f>
        <v/>
      </c>
      <c r="Z33" s="22">
        <f>IF(DAY(DATE(PORTADA!$B$2,10,29))&lt;&gt;29,"",SUMIFS(MOVIMIENTOS!$F:$F,MOVIMIENTOS!$A:$A,DATE(PORTADA!$B$2,10,29),MOVIMIENTOS!$C:$C,Z$4))</f>
        <v/>
      </c>
      <c r="AA33" s="22">
        <f>IF(DAY(DATE(PORTADA!$B$2,10,29))&lt;&gt;29,"",SUM(T33:Z33))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SUMIFS(MOVIMIENTOS!$F:$F,MOVIMIENTOS!$A:$A,"&gt;="&amp;DATE(PORTADA!$B$2,10,1),MOVIMIENTOS!$A:$A,"&lt;="&amp;EOMONTH(DATE(PORTADA!$B$2,10,1),0),MOVIMIENTOS!$D:$D,$B34)</f>
        <v/>
      </c>
      <c r="E34" s="8">
        <f>C34-D34</f>
        <v/>
      </c>
      <c r="F34" s="9">
        <f>IFERROR(D34/C34,"")</f>
        <v/>
      </c>
      <c r="S34" s="21">
        <f>IF(DAY(DATE(PORTADA!$B$2,10,30))&lt;&gt;30,"",30)</f>
        <v/>
      </c>
      <c r="T34" s="22">
        <f>IF(DAY(DATE(PORTADA!$B$2,10,30))&lt;&gt;30,"",SUMIFS(MOVIMIENTOS!$F:$F,MOVIMIENTOS!$A:$A,DATE(PORTADA!$B$2,10,30),MOVIMIENTOS!$C:$C,T$4))</f>
        <v/>
      </c>
      <c r="U34" s="22">
        <f>IF(DAY(DATE(PORTADA!$B$2,10,30))&lt;&gt;30,"",SUMIFS(MOVIMIENTOS!$F:$F,MOVIMIENTOS!$A:$A,DATE(PORTADA!$B$2,10,30),MOVIMIENTOS!$C:$C,U$4))</f>
        <v/>
      </c>
      <c r="V34" s="22">
        <f>IF(DAY(DATE(PORTADA!$B$2,10,30))&lt;&gt;30,"",SUMIFS(MOVIMIENTOS!$F:$F,MOVIMIENTOS!$A:$A,DATE(PORTADA!$B$2,10,30),MOVIMIENTOS!$C:$C,V$4))</f>
        <v/>
      </c>
      <c r="W34" s="22">
        <f>IF(DAY(DATE(PORTADA!$B$2,10,30))&lt;&gt;30,"",SUMIFS(MOVIMIENTOS!$F:$F,MOVIMIENTOS!$A:$A,DATE(PORTADA!$B$2,10,30),MOVIMIENTOS!$C:$C,W$4))</f>
        <v/>
      </c>
      <c r="X34" s="22">
        <f>IF(DAY(DATE(PORTADA!$B$2,10,30))&lt;&gt;30,"",SUMIFS(MOVIMIENTOS!$F:$F,MOVIMIENTOS!$A:$A,DATE(PORTADA!$B$2,10,30),MOVIMIENTOS!$C:$C,X$4))</f>
        <v/>
      </c>
      <c r="Y34" s="22">
        <f>IF(DAY(DATE(PORTADA!$B$2,10,30))&lt;&gt;30,"",SUMIFS(MOVIMIENTOS!$F:$F,MOVIMIENTOS!$A:$A,DATE(PORTADA!$B$2,10,30),MOVIMIENTOS!$C:$C,Y$4))</f>
        <v/>
      </c>
      <c r="Z34" s="22">
        <f>IF(DAY(DATE(PORTADA!$B$2,10,30))&lt;&gt;30,"",SUMIFS(MOVIMIENTOS!$F:$F,MOVIMIENTOS!$A:$A,DATE(PORTADA!$B$2,10,30),MOVIMIENTOS!$C:$C,Z$4))</f>
        <v/>
      </c>
      <c r="AA34" s="22">
        <f>IF(DAY(DATE(PORTADA!$B$2,10,30))&lt;&gt;30,"",SUM(T34:Z34))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SUMIFS(MOVIMIENTOS!$F:$F,MOVIMIENTOS!$A:$A,"&gt;="&amp;DATE(PORTADA!$B$2,10,1),MOVIMIENTOS!$A:$A,"&lt;="&amp;EOMONTH(DATE(PORTADA!$B$2,10,1),0),MOVIMIENTOS!$D:$D,$B35)</f>
        <v/>
      </c>
      <c r="E35" s="8">
        <f>C35-D35</f>
        <v/>
      </c>
      <c r="F35" s="9">
        <f>IFERROR(D35/C35,"")</f>
        <v/>
      </c>
      <c r="S35" s="21">
        <f>IF(DAY(DATE(PORTADA!$B$2,10,31))&lt;&gt;31,"",31)</f>
        <v/>
      </c>
      <c r="T35" s="22">
        <f>IF(DAY(DATE(PORTADA!$B$2,10,31))&lt;&gt;31,"",SUMIFS(MOVIMIENTOS!$F:$F,MOVIMIENTOS!$A:$A,DATE(PORTADA!$B$2,10,31),MOVIMIENTOS!$C:$C,T$4))</f>
        <v/>
      </c>
      <c r="U35" s="22">
        <f>IF(DAY(DATE(PORTADA!$B$2,10,31))&lt;&gt;31,"",SUMIFS(MOVIMIENTOS!$F:$F,MOVIMIENTOS!$A:$A,DATE(PORTADA!$B$2,10,31),MOVIMIENTOS!$C:$C,U$4))</f>
        <v/>
      </c>
      <c r="V35" s="22">
        <f>IF(DAY(DATE(PORTADA!$B$2,10,31))&lt;&gt;31,"",SUMIFS(MOVIMIENTOS!$F:$F,MOVIMIENTOS!$A:$A,DATE(PORTADA!$B$2,10,31),MOVIMIENTOS!$C:$C,V$4))</f>
        <v/>
      </c>
      <c r="W35" s="22">
        <f>IF(DAY(DATE(PORTADA!$B$2,10,31))&lt;&gt;31,"",SUMIFS(MOVIMIENTOS!$F:$F,MOVIMIENTOS!$A:$A,DATE(PORTADA!$B$2,10,31),MOVIMIENTOS!$C:$C,W$4))</f>
        <v/>
      </c>
      <c r="X35" s="22">
        <f>IF(DAY(DATE(PORTADA!$B$2,10,31))&lt;&gt;31,"",SUMIFS(MOVIMIENTOS!$F:$F,MOVIMIENTOS!$A:$A,DATE(PORTADA!$B$2,10,31),MOVIMIENTOS!$C:$C,X$4))</f>
        <v/>
      </c>
      <c r="Y35" s="22">
        <f>IF(DAY(DATE(PORTADA!$B$2,10,31))&lt;&gt;31,"",SUMIFS(MOVIMIENTOS!$F:$F,MOVIMIENTOS!$A:$A,DATE(PORTADA!$B$2,10,31),MOVIMIENTOS!$C:$C,Y$4))</f>
        <v/>
      </c>
      <c r="Z35" s="22">
        <f>IF(DAY(DATE(PORTADA!$B$2,10,31))&lt;&gt;31,"",SUMIFS(MOVIMIENTOS!$F:$F,MOVIMIENTOS!$A:$A,DATE(PORTADA!$B$2,10,31),MOVIMIENTOS!$C:$C,Z$4))</f>
        <v/>
      </c>
      <c r="AA35" s="22">
        <f>IF(DAY(DATE(PORTADA!$B$2,10,31))&lt;&gt;31,"",SUM(T35:Z35))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SUMIFS(MOVIMIENTOS!$F:$F,MOVIMIENTOS!$A:$A,"&gt;="&amp;DATE(PORTADA!$B$2,10,1),MOVIMIENTOS!$A:$A,"&lt;="&amp;EOMONTH(DATE(PORTADA!$B$2,10,1),0),MOVIMIENTOS!$D:$D,$B36)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SUMIFS(MOVIMIENTOS!$F:$F,MOVIMIENTOS!$A:$A,"&gt;="&amp;DATE(PORTADA!$B$2,10,1),MOVIMIENTOS!$A:$A,"&lt;="&amp;EOMONTH(DATE(PORTADA!$B$2,10,1),0),MOVIMIENTOS!$D:$D,$B37)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SUMIFS(MOVIMIENTOS!$F:$F,MOVIMIENTOS!$A:$A,"&gt;="&amp;DATE(PORTADA!$B$2,10,1),MOVIMIENTOS!$A:$A,"&lt;="&amp;EOMONTH(DATE(PORTADA!$B$2,10,1),0),MOVIMIENTOS!$D:$D,$B38)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SUMIFS(MOVIMIENTOS!$F:$F,MOVIMIENTOS!$A:$A,"&gt;="&amp;DATE(PORTADA!$B$2,10,1),MOVIMIENTOS!$A:$A,"&lt;="&amp;EOMONTH(DATE(PORTADA!$B$2,10,1),0),MOVIMIENTOS!$D:$D,$B39)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SUMIFS(MOVIMIENTOS!$F:$F,MOVIMIENTOS!$A:$A,"&gt;="&amp;DATE(PORTADA!$B$2,10,1),MOVIMIENTOS!$A:$A,"&lt;="&amp;EOMONTH(DATE(PORTADA!$B$2,10,1),0),MOVIMIENTOS!$E:$E,"GASTO")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SUMIFS(MOVIMIENTOS!$F:$F,MOVIMIENTOS!$A:$A,"&gt;="&amp;DATE(PORTADA!$B$2,10,1),MOVIMIENTOS!$A:$A,"&lt;="&amp;EOMONTH(DATE(PORTADA!$B$2,10,1),0),MOVIMIENTOS!$E:$E,"AHORRO")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SUMIFS(MOVIMIENTOS!$F:$F,MOVIMIENTOS!$A:$A,"&gt;="&amp;DATE(PORTADA!$B$2,10,1),MOVIMIENTOS!$A:$A,"&lt;="&amp;EOMONTH(DATE(PORTADA!$B$2,10,1),0),MOVIMIENTOS!$E:$E,"DEUDA")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NOVIEMBRE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IF(DAY(DATE(PORTADA!$B$2,11,1))&lt;&gt;1,"",1)</f>
        <v/>
      </c>
      <c r="T5" s="22">
        <f>IF(DAY(DATE(PORTADA!$B$2,11,1))&lt;&gt;1,"",SUMIFS(MOVIMIENTOS!$F:$F,MOVIMIENTOS!$A:$A,DATE(PORTADA!$B$2,11,1),MOVIMIENTOS!$C:$C,T$4))</f>
        <v/>
      </c>
      <c r="U5" s="22">
        <f>IF(DAY(DATE(PORTADA!$B$2,11,1))&lt;&gt;1,"",SUMIFS(MOVIMIENTOS!$F:$F,MOVIMIENTOS!$A:$A,DATE(PORTADA!$B$2,11,1),MOVIMIENTOS!$C:$C,U$4))</f>
        <v/>
      </c>
      <c r="V5" s="22">
        <f>IF(DAY(DATE(PORTADA!$B$2,11,1))&lt;&gt;1,"",SUMIFS(MOVIMIENTOS!$F:$F,MOVIMIENTOS!$A:$A,DATE(PORTADA!$B$2,11,1),MOVIMIENTOS!$C:$C,V$4))</f>
        <v/>
      </c>
      <c r="W5" s="22">
        <f>IF(DAY(DATE(PORTADA!$B$2,11,1))&lt;&gt;1,"",SUMIFS(MOVIMIENTOS!$F:$F,MOVIMIENTOS!$A:$A,DATE(PORTADA!$B$2,11,1),MOVIMIENTOS!$C:$C,W$4))</f>
        <v/>
      </c>
      <c r="X5" s="22">
        <f>IF(DAY(DATE(PORTADA!$B$2,11,1))&lt;&gt;1,"",SUMIFS(MOVIMIENTOS!$F:$F,MOVIMIENTOS!$A:$A,DATE(PORTADA!$B$2,11,1),MOVIMIENTOS!$C:$C,X$4))</f>
        <v/>
      </c>
      <c r="Y5" s="22">
        <f>IF(DAY(DATE(PORTADA!$B$2,11,1))&lt;&gt;1,"",SUMIFS(MOVIMIENTOS!$F:$F,MOVIMIENTOS!$A:$A,DATE(PORTADA!$B$2,11,1),MOVIMIENTOS!$C:$C,Y$4))</f>
        <v/>
      </c>
      <c r="Z5" s="22">
        <f>IF(DAY(DATE(PORTADA!$B$2,11,1))&lt;&gt;1,"",SUMIFS(MOVIMIENTOS!$F:$F,MOVIMIENTOS!$A:$A,DATE(PORTADA!$B$2,11,1),MOVIMIENTOS!$C:$C,Z$4))</f>
        <v/>
      </c>
      <c r="AA5" s="22">
        <f>IF(DAY(DATE(PORTADA!$B$2,11,1))&lt;&gt;1,"",SUM(T5:Z5))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SUMIFS(MOVIMIENTOS!$F:$F,MOVIMIENTOS!$A:$A,"&gt;="&amp;DATE(PORTADA!$B$2,11,1),MOVIMIENTOS!$A:$A,"&lt;="&amp;EOMONTH(DATE(PORTADA!$B$2,11,1),0),MOVIMIENTOS!$D:$D,$B6)</f>
        <v/>
      </c>
      <c r="E6" s="8">
        <f>D6-C6</f>
        <v/>
      </c>
      <c r="F6" s="9">
        <f>IFERROR(D6/C6,"")</f>
        <v/>
      </c>
      <c r="S6" s="21">
        <f>IF(DAY(DATE(PORTADA!$B$2,11,2))&lt;&gt;2,"",2)</f>
        <v/>
      </c>
      <c r="T6" s="22">
        <f>IF(DAY(DATE(PORTADA!$B$2,11,2))&lt;&gt;2,"",SUMIFS(MOVIMIENTOS!$F:$F,MOVIMIENTOS!$A:$A,DATE(PORTADA!$B$2,11,2),MOVIMIENTOS!$C:$C,T$4))</f>
        <v/>
      </c>
      <c r="U6" s="22">
        <f>IF(DAY(DATE(PORTADA!$B$2,11,2))&lt;&gt;2,"",SUMIFS(MOVIMIENTOS!$F:$F,MOVIMIENTOS!$A:$A,DATE(PORTADA!$B$2,11,2),MOVIMIENTOS!$C:$C,U$4))</f>
        <v/>
      </c>
      <c r="V6" s="22">
        <f>IF(DAY(DATE(PORTADA!$B$2,11,2))&lt;&gt;2,"",SUMIFS(MOVIMIENTOS!$F:$F,MOVIMIENTOS!$A:$A,DATE(PORTADA!$B$2,11,2),MOVIMIENTOS!$C:$C,V$4))</f>
        <v/>
      </c>
      <c r="W6" s="22">
        <f>IF(DAY(DATE(PORTADA!$B$2,11,2))&lt;&gt;2,"",SUMIFS(MOVIMIENTOS!$F:$F,MOVIMIENTOS!$A:$A,DATE(PORTADA!$B$2,11,2),MOVIMIENTOS!$C:$C,W$4))</f>
        <v/>
      </c>
      <c r="X6" s="22">
        <f>IF(DAY(DATE(PORTADA!$B$2,11,2))&lt;&gt;2,"",SUMIFS(MOVIMIENTOS!$F:$F,MOVIMIENTOS!$A:$A,DATE(PORTADA!$B$2,11,2),MOVIMIENTOS!$C:$C,X$4))</f>
        <v/>
      </c>
      <c r="Y6" s="22">
        <f>IF(DAY(DATE(PORTADA!$B$2,11,2))&lt;&gt;2,"",SUMIFS(MOVIMIENTOS!$F:$F,MOVIMIENTOS!$A:$A,DATE(PORTADA!$B$2,11,2),MOVIMIENTOS!$C:$C,Y$4))</f>
        <v/>
      </c>
      <c r="Z6" s="22">
        <f>IF(DAY(DATE(PORTADA!$B$2,11,2))&lt;&gt;2,"",SUMIFS(MOVIMIENTOS!$F:$F,MOVIMIENTOS!$A:$A,DATE(PORTADA!$B$2,11,2),MOVIMIENTOS!$C:$C,Z$4))</f>
        <v/>
      </c>
      <c r="AA6" s="22">
        <f>IF(DAY(DATE(PORTADA!$B$2,11,2))&lt;&gt;2,"",SUM(T6:Z6))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SUMIFS(MOVIMIENTOS!$F:$F,MOVIMIENTOS!$A:$A,"&gt;="&amp;DATE(PORTADA!$B$2,11,1),MOVIMIENTOS!$A:$A,"&lt;="&amp;EOMONTH(DATE(PORTADA!$B$2,11,1),0),MOVIMIENTOS!$D:$D,$B7)</f>
        <v/>
      </c>
      <c r="E7" s="8">
        <f>D7-C7</f>
        <v/>
      </c>
      <c r="F7" s="9">
        <f>IFERROR(D7/C7,"")</f>
        <v/>
      </c>
      <c r="S7" s="21">
        <f>IF(DAY(DATE(PORTADA!$B$2,11,3))&lt;&gt;3,"",3)</f>
        <v/>
      </c>
      <c r="T7" s="22">
        <f>IF(DAY(DATE(PORTADA!$B$2,11,3))&lt;&gt;3,"",SUMIFS(MOVIMIENTOS!$F:$F,MOVIMIENTOS!$A:$A,DATE(PORTADA!$B$2,11,3),MOVIMIENTOS!$C:$C,T$4))</f>
        <v/>
      </c>
      <c r="U7" s="22">
        <f>IF(DAY(DATE(PORTADA!$B$2,11,3))&lt;&gt;3,"",SUMIFS(MOVIMIENTOS!$F:$F,MOVIMIENTOS!$A:$A,DATE(PORTADA!$B$2,11,3),MOVIMIENTOS!$C:$C,U$4))</f>
        <v/>
      </c>
      <c r="V7" s="22">
        <f>IF(DAY(DATE(PORTADA!$B$2,11,3))&lt;&gt;3,"",SUMIFS(MOVIMIENTOS!$F:$F,MOVIMIENTOS!$A:$A,DATE(PORTADA!$B$2,11,3),MOVIMIENTOS!$C:$C,V$4))</f>
        <v/>
      </c>
      <c r="W7" s="22">
        <f>IF(DAY(DATE(PORTADA!$B$2,11,3))&lt;&gt;3,"",SUMIFS(MOVIMIENTOS!$F:$F,MOVIMIENTOS!$A:$A,DATE(PORTADA!$B$2,11,3),MOVIMIENTOS!$C:$C,W$4))</f>
        <v/>
      </c>
      <c r="X7" s="22">
        <f>IF(DAY(DATE(PORTADA!$B$2,11,3))&lt;&gt;3,"",SUMIFS(MOVIMIENTOS!$F:$F,MOVIMIENTOS!$A:$A,DATE(PORTADA!$B$2,11,3),MOVIMIENTOS!$C:$C,X$4))</f>
        <v/>
      </c>
      <c r="Y7" s="22">
        <f>IF(DAY(DATE(PORTADA!$B$2,11,3))&lt;&gt;3,"",SUMIFS(MOVIMIENTOS!$F:$F,MOVIMIENTOS!$A:$A,DATE(PORTADA!$B$2,11,3),MOVIMIENTOS!$C:$C,Y$4))</f>
        <v/>
      </c>
      <c r="Z7" s="22">
        <f>IF(DAY(DATE(PORTADA!$B$2,11,3))&lt;&gt;3,"",SUMIFS(MOVIMIENTOS!$F:$F,MOVIMIENTOS!$A:$A,DATE(PORTADA!$B$2,11,3),MOVIMIENTOS!$C:$C,Z$4))</f>
        <v/>
      </c>
      <c r="AA7" s="22">
        <f>IF(DAY(DATE(PORTADA!$B$2,11,3))&lt;&gt;3,"",SUM(T7:Z7))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SUMIFS(MOVIMIENTOS!$F:$F,MOVIMIENTOS!$A:$A,"&gt;="&amp;DATE(PORTADA!$B$2,11,1),MOVIMIENTOS!$A:$A,"&lt;="&amp;EOMONTH(DATE(PORTADA!$B$2,11,1),0),MOVIMIENTOS!$D:$D,$B8)</f>
        <v/>
      </c>
      <c r="E8" s="8">
        <f>D8-C8</f>
        <v/>
      </c>
      <c r="F8" s="9">
        <f>IFERROR(D8/C8,"")</f>
        <v/>
      </c>
      <c r="S8" s="21">
        <f>IF(DAY(DATE(PORTADA!$B$2,11,4))&lt;&gt;4,"",4)</f>
        <v/>
      </c>
      <c r="T8" s="22">
        <f>IF(DAY(DATE(PORTADA!$B$2,11,4))&lt;&gt;4,"",SUMIFS(MOVIMIENTOS!$F:$F,MOVIMIENTOS!$A:$A,DATE(PORTADA!$B$2,11,4),MOVIMIENTOS!$C:$C,T$4))</f>
        <v/>
      </c>
      <c r="U8" s="22">
        <f>IF(DAY(DATE(PORTADA!$B$2,11,4))&lt;&gt;4,"",SUMIFS(MOVIMIENTOS!$F:$F,MOVIMIENTOS!$A:$A,DATE(PORTADA!$B$2,11,4),MOVIMIENTOS!$C:$C,U$4))</f>
        <v/>
      </c>
      <c r="V8" s="22">
        <f>IF(DAY(DATE(PORTADA!$B$2,11,4))&lt;&gt;4,"",SUMIFS(MOVIMIENTOS!$F:$F,MOVIMIENTOS!$A:$A,DATE(PORTADA!$B$2,11,4),MOVIMIENTOS!$C:$C,V$4))</f>
        <v/>
      </c>
      <c r="W8" s="22">
        <f>IF(DAY(DATE(PORTADA!$B$2,11,4))&lt;&gt;4,"",SUMIFS(MOVIMIENTOS!$F:$F,MOVIMIENTOS!$A:$A,DATE(PORTADA!$B$2,11,4),MOVIMIENTOS!$C:$C,W$4))</f>
        <v/>
      </c>
      <c r="X8" s="22">
        <f>IF(DAY(DATE(PORTADA!$B$2,11,4))&lt;&gt;4,"",SUMIFS(MOVIMIENTOS!$F:$F,MOVIMIENTOS!$A:$A,DATE(PORTADA!$B$2,11,4),MOVIMIENTOS!$C:$C,X$4))</f>
        <v/>
      </c>
      <c r="Y8" s="22">
        <f>IF(DAY(DATE(PORTADA!$B$2,11,4))&lt;&gt;4,"",SUMIFS(MOVIMIENTOS!$F:$F,MOVIMIENTOS!$A:$A,DATE(PORTADA!$B$2,11,4),MOVIMIENTOS!$C:$C,Y$4))</f>
        <v/>
      </c>
      <c r="Z8" s="22">
        <f>IF(DAY(DATE(PORTADA!$B$2,11,4))&lt;&gt;4,"",SUMIFS(MOVIMIENTOS!$F:$F,MOVIMIENTOS!$A:$A,DATE(PORTADA!$B$2,11,4),MOVIMIENTOS!$C:$C,Z$4))</f>
        <v/>
      </c>
      <c r="AA8" s="22">
        <f>IF(DAY(DATE(PORTADA!$B$2,11,4))&lt;&gt;4,"",SUM(T8:Z8))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SUMIFS(MOVIMIENTOS!$F:$F,MOVIMIENTOS!$A:$A,"&gt;="&amp;DATE(PORTADA!$B$2,11,1),MOVIMIENTOS!$A:$A,"&lt;="&amp;EOMONTH(DATE(PORTADA!$B$2,11,1),0),MOVIMIENTOS!$D:$D,$B9)</f>
        <v/>
      </c>
      <c r="E9" s="8">
        <f>D9-C9</f>
        <v/>
      </c>
      <c r="F9" s="9">
        <f>IFERROR(D9/C9,"")</f>
        <v/>
      </c>
      <c r="S9" s="21">
        <f>IF(DAY(DATE(PORTADA!$B$2,11,5))&lt;&gt;5,"",5)</f>
        <v/>
      </c>
      <c r="T9" s="22">
        <f>IF(DAY(DATE(PORTADA!$B$2,11,5))&lt;&gt;5,"",SUMIFS(MOVIMIENTOS!$F:$F,MOVIMIENTOS!$A:$A,DATE(PORTADA!$B$2,11,5),MOVIMIENTOS!$C:$C,T$4))</f>
        <v/>
      </c>
      <c r="U9" s="22">
        <f>IF(DAY(DATE(PORTADA!$B$2,11,5))&lt;&gt;5,"",SUMIFS(MOVIMIENTOS!$F:$F,MOVIMIENTOS!$A:$A,DATE(PORTADA!$B$2,11,5),MOVIMIENTOS!$C:$C,U$4))</f>
        <v/>
      </c>
      <c r="V9" s="22">
        <f>IF(DAY(DATE(PORTADA!$B$2,11,5))&lt;&gt;5,"",SUMIFS(MOVIMIENTOS!$F:$F,MOVIMIENTOS!$A:$A,DATE(PORTADA!$B$2,11,5),MOVIMIENTOS!$C:$C,V$4))</f>
        <v/>
      </c>
      <c r="W9" s="22">
        <f>IF(DAY(DATE(PORTADA!$B$2,11,5))&lt;&gt;5,"",SUMIFS(MOVIMIENTOS!$F:$F,MOVIMIENTOS!$A:$A,DATE(PORTADA!$B$2,11,5),MOVIMIENTOS!$C:$C,W$4))</f>
        <v/>
      </c>
      <c r="X9" s="22">
        <f>IF(DAY(DATE(PORTADA!$B$2,11,5))&lt;&gt;5,"",SUMIFS(MOVIMIENTOS!$F:$F,MOVIMIENTOS!$A:$A,DATE(PORTADA!$B$2,11,5),MOVIMIENTOS!$C:$C,X$4))</f>
        <v/>
      </c>
      <c r="Y9" s="22">
        <f>IF(DAY(DATE(PORTADA!$B$2,11,5))&lt;&gt;5,"",SUMIFS(MOVIMIENTOS!$F:$F,MOVIMIENTOS!$A:$A,DATE(PORTADA!$B$2,11,5),MOVIMIENTOS!$C:$C,Y$4))</f>
        <v/>
      </c>
      <c r="Z9" s="22">
        <f>IF(DAY(DATE(PORTADA!$B$2,11,5))&lt;&gt;5,"",SUMIFS(MOVIMIENTOS!$F:$F,MOVIMIENTOS!$A:$A,DATE(PORTADA!$B$2,11,5),MOVIMIENTOS!$C:$C,Z$4))</f>
        <v/>
      </c>
      <c r="AA9" s="22">
        <f>IF(DAY(DATE(PORTADA!$B$2,11,5))&lt;&gt;5,"",SUM(T9:Z9))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SUMIFS(MOVIMIENTOS!$F:$F,MOVIMIENTOS!$A:$A,"&gt;="&amp;DATE(PORTADA!$B$2,11,1),MOVIMIENTOS!$A:$A,"&lt;="&amp;EOMONTH(DATE(PORTADA!$B$2,11,1),0),MOVIMIENTOS!$D:$D,$B10)</f>
        <v/>
      </c>
      <c r="E10" s="8">
        <f>D10-C10</f>
        <v/>
      </c>
      <c r="F10" s="9">
        <f>IFERROR(D10/C10,"")</f>
        <v/>
      </c>
      <c r="S10" s="21">
        <f>IF(DAY(DATE(PORTADA!$B$2,11,6))&lt;&gt;6,"",6)</f>
        <v/>
      </c>
      <c r="T10" s="22">
        <f>IF(DAY(DATE(PORTADA!$B$2,11,6))&lt;&gt;6,"",SUMIFS(MOVIMIENTOS!$F:$F,MOVIMIENTOS!$A:$A,DATE(PORTADA!$B$2,11,6),MOVIMIENTOS!$C:$C,T$4))</f>
        <v/>
      </c>
      <c r="U10" s="22">
        <f>IF(DAY(DATE(PORTADA!$B$2,11,6))&lt;&gt;6,"",SUMIFS(MOVIMIENTOS!$F:$F,MOVIMIENTOS!$A:$A,DATE(PORTADA!$B$2,11,6),MOVIMIENTOS!$C:$C,U$4))</f>
        <v/>
      </c>
      <c r="V10" s="22">
        <f>IF(DAY(DATE(PORTADA!$B$2,11,6))&lt;&gt;6,"",SUMIFS(MOVIMIENTOS!$F:$F,MOVIMIENTOS!$A:$A,DATE(PORTADA!$B$2,11,6),MOVIMIENTOS!$C:$C,V$4))</f>
        <v/>
      </c>
      <c r="W10" s="22">
        <f>IF(DAY(DATE(PORTADA!$B$2,11,6))&lt;&gt;6,"",SUMIFS(MOVIMIENTOS!$F:$F,MOVIMIENTOS!$A:$A,DATE(PORTADA!$B$2,11,6),MOVIMIENTOS!$C:$C,W$4))</f>
        <v/>
      </c>
      <c r="X10" s="22">
        <f>IF(DAY(DATE(PORTADA!$B$2,11,6))&lt;&gt;6,"",SUMIFS(MOVIMIENTOS!$F:$F,MOVIMIENTOS!$A:$A,DATE(PORTADA!$B$2,11,6),MOVIMIENTOS!$C:$C,X$4))</f>
        <v/>
      </c>
      <c r="Y10" s="22">
        <f>IF(DAY(DATE(PORTADA!$B$2,11,6))&lt;&gt;6,"",SUMIFS(MOVIMIENTOS!$F:$F,MOVIMIENTOS!$A:$A,DATE(PORTADA!$B$2,11,6),MOVIMIENTOS!$C:$C,Y$4))</f>
        <v/>
      </c>
      <c r="Z10" s="22">
        <f>IF(DAY(DATE(PORTADA!$B$2,11,6))&lt;&gt;6,"",SUMIFS(MOVIMIENTOS!$F:$F,MOVIMIENTOS!$A:$A,DATE(PORTADA!$B$2,11,6),MOVIMIENTOS!$C:$C,Z$4))</f>
        <v/>
      </c>
      <c r="AA10" s="22">
        <f>IF(DAY(DATE(PORTADA!$B$2,11,6))&lt;&gt;6,"",SUM(T10:Z10))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SUMIFS(MOVIMIENTOS!$F:$F,MOVIMIENTOS!$A:$A,"&gt;="&amp;DATE(PORTADA!$B$2,11,1),MOVIMIENTOS!$A:$A,"&lt;="&amp;EOMONTH(DATE(PORTADA!$B$2,11,1),0),MOVIMIENTOS!$D:$D,$B11)</f>
        <v/>
      </c>
      <c r="E11" s="8">
        <f>D11-C11</f>
        <v/>
      </c>
      <c r="F11" s="9">
        <f>IFERROR(D11/C11,"")</f>
        <v/>
      </c>
      <c r="S11" s="21">
        <f>IF(DAY(DATE(PORTADA!$B$2,11,7))&lt;&gt;7,"",7)</f>
        <v/>
      </c>
      <c r="T11" s="22">
        <f>IF(DAY(DATE(PORTADA!$B$2,11,7))&lt;&gt;7,"",SUMIFS(MOVIMIENTOS!$F:$F,MOVIMIENTOS!$A:$A,DATE(PORTADA!$B$2,11,7),MOVIMIENTOS!$C:$C,T$4))</f>
        <v/>
      </c>
      <c r="U11" s="22">
        <f>IF(DAY(DATE(PORTADA!$B$2,11,7))&lt;&gt;7,"",SUMIFS(MOVIMIENTOS!$F:$F,MOVIMIENTOS!$A:$A,DATE(PORTADA!$B$2,11,7),MOVIMIENTOS!$C:$C,U$4))</f>
        <v/>
      </c>
      <c r="V11" s="22">
        <f>IF(DAY(DATE(PORTADA!$B$2,11,7))&lt;&gt;7,"",SUMIFS(MOVIMIENTOS!$F:$F,MOVIMIENTOS!$A:$A,DATE(PORTADA!$B$2,11,7),MOVIMIENTOS!$C:$C,V$4))</f>
        <v/>
      </c>
      <c r="W11" s="22">
        <f>IF(DAY(DATE(PORTADA!$B$2,11,7))&lt;&gt;7,"",SUMIFS(MOVIMIENTOS!$F:$F,MOVIMIENTOS!$A:$A,DATE(PORTADA!$B$2,11,7),MOVIMIENTOS!$C:$C,W$4))</f>
        <v/>
      </c>
      <c r="X11" s="22">
        <f>IF(DAY(DATE(PORTADA!$B$2,11,7))&lt;&gt;7,"",SUMIFS(MOVIMIENTOS!$F:$F,MOVIMIENTOS!$A:$A,DATE(PORTADA!$B$2,11,7),MOVIMIENTOS!$C:$C,X$4))</f>
        <v/>
      </c>
      <c r="Y11" s="22">
        <f>IF(DAY(DATE(PORTADA!$B$2,11,7))&lt;&gt;7,"",SUMIFS(MOVIMIENTOS!$F:$F,MOVIMIENTOS!$A:$A,DATE(PORTADA!$B$2,11,7),MOVIMIENTOS!$C:$C,Y$4))</f>
        <v/>
      </c>
      <c r="Z11" s="22">
        <f>IF(DAY(DATE(PORTADA!$B$2,11,7))&lt;&gt;7,"",SUMIFS(MOVIMIENTOS!$F:$F,MOVIMIENTOS!$A:$A,DATE(PORTADA!$B$2,11,7),MOVIMIENTOS!$C:$C,Z$4))</f>
        <v/>
      </c>
      <c r="AA11" s="22">
        <f>IF(DAY(DATE(PORTADA!$B$2,11,7))&lt;&gt;7,"",SUM(T11:Z11))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SUMIFS(MOVIMIENTOS!$F:$F,MOVIMIENTOS!$A:$A,"&gt;="&amp;DATE(PORTADA!$B$2,11,1),MOVIMIENTOS!$A:$A,"&lt;="&amp;EOMONTH(DATE(PORTADA!$B$2,11,1),0),MOVIMIENTOS!$D:$D,$B12)</f>
        <v/>
      </c>
      <c r="E12" s="8">
        <f>D12-C12</f>
        <v/>
      </c>
      <c r="F12" s="9">
        <f>IFERROR(D12/C12,"")</f>
        <v/>
      </c>
      <c r="S12" s="21">
        <f>IF(DAY(DATE(PORTADA!$B$2,11,8))&lt;&gt;8,"",8)</f>
        <v/>
      </c>
      <c r="T12" s="22">
        <f>IF(DAY(DATE(PORTADA!$B$2,11,8))&lt;&gt;8,"",SUMIFS(MOVIMIENTOS!$F:$F,MOVIMIENTOS!$A:$A,DATE(PORTADA!$B$2,11,8),MOVIMIENTOS!$C:$C,T$4))</f>
        <v/>
      </c>
      <c r="U12" s="22">
        <f>IF(DAY(DATE(PORTADA!$B$2,11,8))&lt;&gt;8,"",SUMIFS(MOVIMIENTOS!$F:$F,MOVIMIENTOS!$A:$A,DATE(PORTADA!$B$2,11,8),MOVIMIENTOS!$C:$C,U$4))</f>
        <v/>
      </c>
      <c r="V12" s="22">
        <f>IF(DAY(DATE(PORTADA!$B$2,11,8))&lt;&gt;8,"",SUMIFS(MOVIMIENTOS!$F:$F,MOVIMIENTOS!$A:$A,DATE(PORTADA!$B$2,11,8),MOVIMIENTOS!$C:$C,V$4))</f>
        <v/>
      </c>
      <c r="W12" s="22">
        <f>IF(DAY(DATE(PORTADA!$B$2,11,8))&lt;&gt;8,"",SUMIFS(MOVIMIENTOS!$F:$F,MOVIMIENTOS!$A:$A,DATE(PORTADA!$B$2,11,8),MOVIMIENTOS!$C:$C,W$4))</f>
        <v/>
      </c>
      <c r="X12" s="22">
        <f>IF(DAY(DATE(PORTADA!$B$2,11,8))&lt;&gt;8,"",SUMIFS(MOVIMIENTOS!$F:$F,MOVIMIENTOS!$A:$A,DATE(PORTADA!$B$2,11,8),MOVIMIENTOS!$C:$C,X$4))</f>
        <v/>
      </c>
      <c r="Y12" s="22">
        <f>IF(DAY(DATE(PORTADA!$B$2,11,8))&lt;&gt;8,"",SUMIFS(MOVIMIENTOS!$F:$F,MOVIMIENTOS!$A:$A,DATE(PORTADA!$B$2,11,8),MOVIMIENTOS!$C:$C,Y$4))</f>
        <v/>
      </c>
      <c r="Z12" s="22">
        <f>IF(DAY(DATE(PORTADA!$B$2,11,8))&lt;&gt;8,"",SUMIFS(MOVIMIENTOS!$F:$F,MOVIMIENTOS!$A:$A,DATE(PORTADA!$B$2,11,8),MOVIMIENTOS!$C:$C,Z$4))</f>
        <v/>
      </c>
      <c r="AA12" s="22">
        <f>IF(DAY(DATE(PORTADA!$B$2,11,8))&lt;&gt;8,"",SUM(T12:Z12))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IF(DAY(DATE(PORTADA!$B$2,11,9))&lt;&gt;9,"",9)</f>
        <v/>
      </c>
      <c r="T13" s="22">
        <f>IF(DAY(DATE(PORTADA!$B$2,11,9))&lt;&gt;9,"",SUMIFS(MOVIMIENTOS!$F:$F,MOVIMIENTOS!$A:$A,DATE(PORTADA!$B$2,11,9),MOVIMIENTOS!$C:$C,T$4))</f>
        <v/>
      </c>
      <c r="U13" s="22">
        <f>IF(DAY(DATE(PORTADA!$B$2,11,9))&lt;&gt;9,"",SUMIFS(MOVIMIENTOS!$F:$F,MOVIMIENTOS!$A:$A,DATE(PORTADA!$B$2,11,9),MOVIMIENTOS!$C:$C,U$4))</f>
        <v/>
      </c>
      <c r="V13" s="22">
        <f>IF(DAY(DATE(PORTADA!$B$2,11,9))&lt;&gt;9,"",SUMIFS(MOVIMIENTOS!$F:$F,MOVIMIENTOS!$A:$A,DATE(PORTADA!$B$2,11,9),MOVIMIENTOS!$C:$C,V$4))</f>
        <v/>
      </c>
      <c r="W13" s="22">
        <f>IF(DAY(DATE(PORTADA!$B$2,11,9))&lt;&gt;9,"",SUMIFS(MOVIMIENTOS!$F:$F,MOVIMIENTOS!$A:$A,DATE(PORTADA!$B$2,11,9),MOVIMIENTOS!$C:$C,W$4))</f>
        <v/>
      </c>
      <c r="X13" s="22">
        <f>IF(DAY(DATE(PORTADA!$B$2,11,9))&lt;&gt;9,"",SUMIFS(MOVIMIENTOS!$F:$F,MOVIMIENTOS!$A:$A,DATE(PORTADA!$B$2,11,9),MOVIMIENTOS!$C:$C,X$4))</f>
        <v/>
      </c>
      <c r="Y13" s="22">
        <f>IF(DAY(DATE(PORTADA!$B$2,11,9))&lt;&gt;9,"",SUMIFS(MOVIMIENTOS!$F:$F,MOVIMIENTOS!$A:$A,DATE(PORTADA!$B$2,11,9),MOVIMIENTOS!$C:$C,Y$4))</f>
        <v/>
      </c>
      <c r="Z13" s="22">
        <f>IF(DAY(DATE(PORTADA!$B$2,11,9))&lt;&gt;9,"",SUMIFS(MOVIMIENTOS!$F:$F,MOVIMIENTOS!$A:$A,DATE(PORTADA!$B$2,11,9),MOVIMIENTOS!$C:$C,Z$4))</f>
        <v/>
      </c>
      <c r="AA13" s="22">
        <f>IF(DAY(DATE(PORTADA!$B$2,11,9))&lt;&gt;9,"",SUM(T13:Z13))</f>
        <v/>
      </c>
    </row>
    <row r="14">
      <c r="S14" s="21">
        <f>IF(DAY(DATE(PORTADA!$B$2,11,10))&lt;&gt;10,"",10)</f>
        <v/>
      </c>
      <c r="T14" s="22">
        <f>IF(DAY(DATE(PORTADA!$B$2,11,10))&lt;&gt;10,"",SUMIFS(MOVIMIENTOS!$F:$F,MOVIMIENTOS!$A:$A,DATE(PORTADA!$B$2,11,10),MOVIMIENTOS!$C:$C,T$4))</f>
        <v/>
      </c>
      <c r="U14" s="22">
        <f>IF(DAY(DATE(PORTADA!$B$2,11,10))&lt;&gt;10,"",SUMIFS(MOVIMIENTOS!$F:$F,MOVIMIENTOS!$A:$A,DATE(PORTADA!$B$2,11,10),MOVIMIENTOS!$C:$C,U$4))</f>
        <v/>
      </c>
      <c r="V14" s="22">
        <f>IF(DAY(DATE(PORTADA!$B$2,11,10))&lt;&gt;10,"",SUMIFS(MOVIMIENTOS!$F:$F,MOVIMIENTOS!$A:$A,DATE(PORTADA!$B$2,11,10),MOVIMIENTOS!$C:$C,V$4))</f>
        <v/>
      </c>
      <c r="W14" s="22">
        <f>IF(DAY(DATE(PORTADA!$B$2,11,10))&lt;&gt;10,"",SUMIFS(MOVIMIENTOS!$F:$F,MOVIMIENTOS!$A:$A,DATE(PORTADA!$B$2,11,10),MOVIMIENTOS!$C:$C,W$4))</f>
        <v/>
      </c>
      <c r="X14" s="22">
        <f>IF(DAY(DATE(PORTADA!$B$2,11,10))&lt;&gt;10,"",SUMIFS(MOVIMIENTOS!$F:$F,MOVIMIENTOS!$A:$A,DATE(PORTADA!$B$2,11,10),MOVIMIENTOS!$C:$C,X$4))</f>
        <v/>
      </c>
      <c r="Y14" s="22">
        <f>IF(DAY(DATE(PORTADA!$B$2,11,10))&lt;&gt;10,"",SUMIFS(MOVIMIENTOS!$F:$F,MOVIMIENTOS!$A:$A,DATE(PORTADA!$B$2,11,10),MOVIMIENTOS!$C:$C,Y$4))</f>
        <v/>
      </c>
      <c r="Z14" s="22">
        <f>IF(DAY(DATE(PORTADA!$B$2,11,10))&lt;&gt;10,"",SUMIFS(MOVIMIENTOS!$F:$F,MOVIMIENTOS!$A:$A,DATE(PORTADA!$B$2,11,10),MOVIMIENTOS!$C:$C,Z$4))</f>
        <v/>
      </c>
      <c r="AA14" s="22">
        <f>IF(DAY(DATE(PORTADA!$B$2,11,10))&lt;&gt;10,"",SUM(T14:Z14))</f>
        <v/>
      </c>
    </row>
    <row r="15">
      <c r="A15" s="2" t="inlineStr">
        <is>
          <t>EGRESOS</t>
        </is>
      </c>
      <c r="S15" s="21">
        <f>IF(DAY(DATE(PORTADA!$B$2,11,11))&lt;&gt;11,"",11)</f>
        <v/>
      </c>
      <c r="T15" s="22">
        <f>IF(DAY(DATE(PORTADA!$B$2,11,11))&lt;&gt;11,"",SUMIFS(MOVIMIENTOS!$F:$F,MOVIMIENTOS!$A:$A,DATE(PORTADA!$B$2,11,11),MOVIMIENTOS!$C:$C,T$4))</f>
        <v/>
      </c>
      <c r="U15" s="22">
        <f>IF(DAY(DATE(PORTADA!$B$2,11,11))&lt;&gt;11,"",SUMIFS(MOVIMIENTOS!$F:$F,MOVIMIENTOS!$A:$A,DATE(PORTADA!$B$2,11,11),MOVIMIENTOS!$C:$C,U$4))</f>
        <v/>
      </c>
      <c r="V15" s="22">
        <f>IF(DAY(DATE(PORTADA!$B$2,11,11))&lt;&gt;11,"",SUMIFS(MOVIMIENTOS!$F:$F,MOVIMIENTOS!$A:$A,DATE(PORTADA!$B$2,11,11),MOVIMIENTOS!$C:$C,V$4))</f>
        <v/>
      </c>
      <c r="W15" s="22">
        <f>IF(DAY(DATE(PORTADA!$B$2,11,11))&lt;&gt;11,"",SUMIFS(MOVIMIENTOS!$F:$F,MOVIMIENTOS!$A:$A,DATE(PORTADA!$B$2,11,11),MOVIMIENTOS!$C:$C,W$4))</f>
        <v/>
      </c>
      <c r="X15" s="22">
        <f>IF(DAY(DATE(PORTADA!$B$2,11,11))&lt;&gt;11,"",SUMIFS(MOVIMIENTOS!$F:$F,MOVIMIENTOS!$A:$A,DATE(PORTADA!$B$2,11,11),MOVIMIENTOS!$C:$C,X$4))</f>
        <v/>
      </c>
      <c r="Y15" s="22">
        <f>IF(DAY(DATE(PORTADA!$B$2,11,11))&lt;&gt;11,"",SUMIFS(MOVIMIENTOS!$F:$F,MOVIMIENTOS!$A:$A,DATE(PORTADA!$B$2,11,11),MOVIMIENTOS!$C:$C,Y$4))</f>
        <v/>
      </c>
      <c r="Z15" s="22">
        <f>IF(DAY(DATE(PORTADA!$B$2,11,11))&lt;&gt;11,"",SUMIFS(MOVIMIENTOS!$F:$F,MOVIMIENTOS!$A:$A,DATE(PORTADA!$B$2,11,11),MOVIMIENTOS!$C:$C,Z$4))</f>
        <v/>
      </c>
      <c r="AA15" s="22">
        <f>IF(DAY(DATE(PORTADA!$B$2,11,11))&lt;&gt;11,"",SUM(T15:Z15))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IF(DAY(DATE(PORTADA!$B$2,11,12))&lt;&gt;12,"",12)</f>
        <v/>
      </c>
      <c r="T16" s="22">
        <f>IF(DAY(DATE(PORTADA!$B$2,11,12))&lt;&gt;12,"",SUMIFS(MOVIMIENTOS!$F:$F,MOVIMIENTOS!$A:$A,DATE(PORTADA!$B$2,11,12),MOVIMIENTOS!$C:$C,T$4))</f>
        <v/>
      </c>
      <c r="U16" s="22">
        <f>IF(DAY(DATE(PORTADA!$B$2,11,12))&lt;&gt;12,"",SUMIFS(MOVIMIENTOS!$F:$F,MOVIMIENTOS!$A:$A,DATE(PORTADA!$B$2,11,12),MOVIMIENTOS!$C:$C,U$4))</f>
        <v/>
      </c>
      <c r="V16" s="22">
        <f>IF(DAY(DATE(PORTADA!$B$2,11,12))&lt;&gt;12,"",SUMIFS(MOVIMIENTOS!$F:$F,MOVIMIENTOS!$A:$A,DATE(PORTADA!$B$2,11,12),MOVIMIENTOS!$C:$C,V$4))</f>
        <v/>
      </c>
      <c r="W16" s="22">
        <f>IF(DAY(DATE(PORTADA!$B$2,11,12))&lt;&gt;12,"",SUMIFS(MOVIMIENTOS!$F:$F,MOVIMIENTOS!$A:$A,DATE(PORTADA!$B$2,11,12),MOVIMIENTOS!$C:$C,W$4))</f>
        <v/>
      </c>
      <c r="X16" s="22">
        <f>IF(DAY(DATE(PORTADA!$B$2,11,12))&lt;&gt;12,"",SUMIFS(MOVIMIENTOS!$F:$F,MOVIMIENTOS!$A:$A,DATE(PORTADA!$B$2,11,12),MOVIMIENTOS!$C:$C,X$4))</f>
        <v/>
      </c>
      <c r="Y16" s="22">
        <f>IF(DAY(DATE(PORTADA!$B$2,11,12))&lt;&gt;12,"",SUMIFS(MOVIMIENTOS!$F:$F,MOVIMIENTOS!$A:$A,DATE(PORTADA!$B$2,11,12),MOVIMIENTOS!$C:$C,Y$4))</f>
        <v/>
      </c>
      <c r="Z16" s="22">
        <f>IF(DAY(DATE(PORTADA!$B$2,11,12))&lt;&gt;12,"",SUMIFS(MOVIMIENTOS!$F:$F,MOVIMIENTOS!$A:$A,DATE(PORTADA!$B$2,11,12),MOVIMIENTOS!$C:$C,Z$4))</f>
        <v/>
      </c>
      <c r="AA16" s="22">
        <f>IF(DAY(DATE(PORTADA!$B$2,11,12))&lt;&gt;12,"",SUM(T16:Z16))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SUMIFS(MOVIMIENTOS!$F:$F,MOVIMIENTOS!$A:$A,"&gt;="&amp;DATE(PORTADA!$B$2,11,1),MOVIMIENTOS!$A:$A,"&lt;="&amp;EOMONTH(DATE(PORTADA!$B$2,11,1),0),MOVIMIENTOS!$D:$D,$B17)</f>
        <v/>
      </c>
      <c r="E17" s="8">
        <f>C17-D17</f>
        <v/>
      </c>
      <c r="F17" s="9">
        <f>IFERROR(D17/C17,"")</f>
        <v/>
      </c>
      <c r="S17" s="21">
        <f>IF(DAY(DATE(PORTADA!$B$2,11,13))&lt;&gt;13,"",13)</f>
        <v/>
      </c>
      <c r="T17" s="22">
        <f>IF(DAY(DATE(PORTADA!$B$2,11,13))&lt;&gt;13,"",SUMIFS(MOVIMIENTOS!$F:$F,MOVIMIENTOS!$A:$A,DATE(PORTADA!$B$2,11,13),MOVIMIENTOS!$C:$C,T$4))</f>
        <v/>
      </c>
      <c r="U17" s="22">
        <f>IF(DAY(DATE(PORTADA!$B$2,11,13))&lt;&gt;13,"",SUMIFS(MOVIMIENTOS!$F:$F,MOVIMIENTOS!$A:$A,DATE(PORTADA!$B$2,11,13),MOVIMIENTOS!$C:$C,U$4))</f>
        <v/>
      </c>
      <c r="V17" s="22">
        <f>IF(DAY(DATE(PORTADA!$B$2,11,13))&lt;&gt;13,"",SUMIFS(MOVIMIENTOS!$F:$F,MOVIMIENTOS!$A:$A,DATE(PORTADA!$B$2,11,13),MOVIMIENTOS!$C:$C,V$4))</f>
        <v/>
      </c>
      <c r="W17" s="22">
        <f>IF(DAY(DATE(PORTADA!$B$2,11,13))&lt;&gt;13,"",SUMIFS(MOVIMIENTOS!$F:$F,MOVIMIENTOS!$A:$A,DATE(PORTADA!$B$2,11,13),MOVIMIENTOS!$C:$C,W$4))</f>
        <v/>
      </c>
      <c r="X17" s="22">
        <f>IF(DAY(DATE(PORTADA!$B$2,11,13))&lt;&gt;13,"",SUMIFS(MOVIMIENTOS!$F:$F,MOVIMIENTOS!$A:$A,DATE(PORTADA!$B$2,11,13),MOVIMIENTOS!$C:$C,X$4))</f>
        <v/>
      </c>
      <c r="Y17" s="22">
        <f>IF(DAY(DATE(PORTADA!$B$2,11,13))&lt;&gt;13,"",SUMIFS(MOVIMIENTOS!$F:$F,MOVIMIENTOS!$A:$A,DATE(PORTADA!$B$2,11,13),MOVIMIENTOS!$C:$C,Y$4))</f>
        <v/>
      </c>
      <c r="Z17" s="22">
        <f>IF(DAY(DATE(PORTADA!$B$2,11,13))&lt;&gt;13,"",SUMIFS(MOVIMIENTOS!$F:$F,MOVIMIENTOS!$A:$A,DATE(PORTADA!$B$2,11,13),MOVIMIENTOS!$C:$C,Z$4))</f>
        <v/>
      </c>
      <c r="AA17" s="22">
        <f>IF(DAY(DATE(PORTADA!$B$2,11,13))&lt;&gt;13,"",SUM(T17:Z17))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SUMIFS(MOVIMIENTOS!$F:$F,MOVIMIENTOS!$A:$A,"&gt;="&amp;DATE(PORTADA!$B$2,11,1),MOVIMIENTOS!$A:$A,"&lt;="&amp;EOMONTH(DATE(PORTADA!$B$2,11,1),0),MOVIMIENTOS!$D:$D,$B18)</f>
        <v/>
      </c>
      <c r="E18" s="8">
        <f>C18-D18</f>
        <v/>
      </c>
      <c r="F18" s="9">
        <f>IFERROR(D18/C18,"")</f>
        <v/>
      </c>
      <c r="S18" s="21">
        <f>IF(DAY(DATE(PORTADA!$B$2,11,14))&lt;&gt;14,"",14)</f>
        <v/>
      </c>
      <c r="T18" s="22">
        <f>IF(DAY(DATE(PORTADA!$B$2,11,14))&lt;&gt;14,"",SUMIFS(MOVIMIENTOS!$F:$F,MOVIMIENTOS!$A:$A,DATE(PORTADA!$B$2,11,14),MOVIMIENTOS!$C:$C,T$4))</f>
        <v/>
      </c>
      <c r="U18" s="22">
        <f>IF(DAY(DATE(PORTADA!$B$2,11,14))&lt;&gt;14,"",SUMIFS(MOVIMIENTOS!$F:$F,MOVIMIENTOS!$A:$A,DATE(PORTADA!$B$2,11,14),MOVIMIENTOS!$C:$C,U$4))</f>
        <v/>
      </c>
      <c r="V18" s="22">
        <f>IF(DAY(DATE(PORTADA!$B$2,11,14))&lt;&gt;14,"",SUMIFS(MOVIMIENTOS!$F:$F,MOVIMIENTOS!$A:$A,DATE(PORTADA!$B$2,11,14),MOVIMIENTOS!$C:$C,V$4))</f>
        <v/>
      </c>
      <c r="W18" s="22">
        <f>IF(DAY(DATE(PORTADA!$B$2,11,14))&lt;&gt;14,"",SUMIFS(MOVIMIENTOS!$F:$F,MOVIMIENTOS!$A:$A,DATE(PORTADA!$B$2,11,14),MOVIMIENTOS!$C:$C,W$4))</f>
        <v/>
      </c>
      <c r="X18" s="22">
        <f>IF(DAY(DATE(PORTADA!$B$2,11,14))&lt;&gt;14,"",SUMIFS(MOVIMIENTOS!$F:$F,MOVIMIENTOS!$A:$A,DATE(PORTADA!$B$2,11,14),MOVIMIENTOS!$C:$C,X$4))</f>
        <v/>
      </c>
      <c r="Y18" s="22">
        <f>IF(DAY(DATE(PORTADA!$B$2,11,14))&lt;&gt;14,"",SUMIFS(MOVIMIENTOS!$F:$F,MOVIMIENTOS!$A:$A,DATE(PORTADA!$B$2,11,14),MOVIMIENTOS!$C:$C,Y$4))</f>
        <v/>
      </c>
      <c r="Z18" s="22">
        <f>IF(DAY(DATE(PORTADA!$B$2,11,14))&lt;&gt;14,"",SUMIFS(MOVIMIENTOS!$F:$F,MOVIMIENTOS!$A:$A,DATE(PORTADA!$B$2,11,14),MOVIMIENTOS!$C:$C,Z$4))</f>
        <v/>
      </c>
      <c r="AA18" s="22">
        <f>IF(DAY(DATE(PORTADA!$B$2,11,14))&lt;&gt;14,"",SUM(T18:Z18))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SUMIFS(MOVIMIENTOS!$F:$F,MOVIMIENTOS!$A:$A,"&gt;="&amp;DATE(PORTADA!$B$2,11,1),MOVIMIENTOS!$A:$A,"&lt;="&amp;EOMONTH(DATE(PORTADA!$B$2,11,1),0),MOVIMIENTOS!$D:$D,$B19)</f>
        <v/>
      </c>
      <c r="E19" s="8">
        <f>C19-D19</f>
        <v/>
      </c>
      <c r="F19" s="9">
        <f>IFERROR(D19/C19,"")</f>
        <v/>
      </c>
      <c r="S19" s="21">
        <f>IF(DAY(DATE(PORTADA!$B$2,11,15))&lt;&gt;15,"",15)</f>
        <v/>
      </c>
      <c r="T19" s="22">
        <f>IF(DAY(DATE(PORTADA!$B$2,11,15))&lt;&gt;15,"",SUMIFS(MOVIMIENTOS!$F:$F,MOVIMIENTOS!$A:$A,DATE(PORTADA!$B$2,11,15),MOVIMIENTOS!$C:$C,T$4))</f>
        <v/>
      </c>
      <c r="U19" s="22">
        <f>IF(DAY(DATE(PORTADA!$B$2,11,15))&lt;&gt;15,"",SUMIFS(MOVIMIENTOS!$F:$F,MOVIMIENTOS!$A:$A,DATE(PORTADA!$B$2,11,15),MOVIMIENTOS!$C:$C,U$4))</f>
        <v/>
      </c>
      <c r="V19" s="22">
        <f>IF(DAY(DATE(PORTADA!$B$2,11,15))&lt;&gt;15,"",SUMIFS(MOVIMIENTOS!$F:$F,MOVIMIENTOS!$A:$A,DATE(PORTADA!$B$2,11,15),MOVIMIENTOS!$C:$C,V$4))</f>
        <v/>
      </c>
      <c r="W19" s="22">
        <f>IF(DAY(DATE(PORTADA!$B$2,11,15))&lt;&gt;15,"",SUMIFS(MOVIMIENTOS!$F:$F,MOVIMIENTOS!$A:$A,DATE(PORTADA!$B$2,11,15),MOVIMIENTOS!$C:$C,W$4))</f>
        <v/>
      </c>
      <c r="X19" s="22">
        <f>IF(DAY(DATE(PORTADA!$B$2,11,15))&lt;&gt;15,"",SUMIFS(MOVIMIENTOS!$F:$F,MOVIMIENTOS!$A:$A,DATE(PORTADA!$B$2,11,15),MOVIMIENTOS!$C:$C,X$4))</f>
        <v/>
      </c>
      <c r="Y19" s="22">
        <f>IF(DAY(DATE(PORTADA!$B$2,11,15))&lt;&gt;15,"",SUMIFS(MOVIMIENTOS!$F:$F,MOVIMIENTOS!$A:$A,DATE(PORTADA!$B$2,11,15),MOVIMIENTOS!$C:$C,Y$4))</f>
        <v/>
      </c>
      <c r="Z19" s="22">
        <f>IF(DAY(DATE(PORTADA!$B$2,11,15))&lt;&gt;15,"",SUMIFS(MOVIMIENTOS!$F:$F,MOVIMIENTOS!$A:$A,DATE(PORTADA!$B$2,11,15),MOVIMIENTOS!$C:$C,Z$4))</f>
        <v/>
      </c>
      <c r="AA19" s="22">
        <f>IF(DAY(DATE(PORTADA!$B$2,11,15))&lt;&gt;15,"",SUM(T19:Z19))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SUMIFS(MOVIMIENTOS!$F:$F,MOVIMIENTOS!$A:$A,"&gt;="&amp;DATE(PORTADA!$B$2,11,1),MOVIMIENTOS!$A:$A,"&lt;="&amp;EOMONTH(DATE(PORTADA!$B$2,11,1),0),MOVIMIENTOS!$D:$D,$B20)</f>
        <v/>
      </c>
      <c r="E20" s="8">
        <f>C20-D20</f>
        <v/>
      </c>
      <c r="F20" s="9">
        <f>IFERROR(D20/C20,"")</f>
        <v/>
      </c>
      <c r="S20" s="21">
        <f>IF(DAY(DATE(PORTADA!$B$2,11,16))&lt;&gt;16,"",16)</f>
        <v/>
      </c>
      <c r="T20" s="22">
        <f>IF(DAY(DATE(PORTADA!$B$2,11,16))&lt;&gt;16,"",SUMIFS(MOVIMIENTOS!$F:$F,MOVIMIENTOS!$A:$A,DATE(PORTADA!$B$2,11,16),MOVIMIENTOS!$C:$C,T$4))</f>
        <v/>
      </c>
      <c r="U20" s="22">
        <f>IF(DAY(DATE(PORTADA!$B$2,11,16))&lt;&gt;16,"",SUMIFS(MOVIMIENTOS!$F:$F,MOVIMIENTOS!$A:$A,DATE(PORTADA!$B$2,11,16),MOVIMIENTOS!$C:$C,U$4))</f>
        <v/>
      </c>
      <c r="V20" s="22">
        <f>IF(DAY(DATE(PORTADA!$B$2,11,16))&lt;&gt;16,"",SUMIFS(MOVIMIENTOS!$F:$F,MOVIMIENTOS!$A:$A,DATE(PORTADA!$B$2,11,16),MOVIMIENTOS!$C:$C,V$4))</f>
        <v/>
      </c>
      <c r="W20" s="22">
        <f>IF(DAY(DATE(PORTADA!$B$2,11,16))&lt;&gt;16,"",SUMIFS(MOVIMIENTOS!$F:$F,MOVIMIENTOS!$A:$A,DATE(PORTADA!$B$2,11,16),MOVIMIENTOS!$C:$C,W$4))</f>
        <v/>
      </c>
      <c r="X20" s="22">
        <f>IF(DAY(DATE(PORTADA!$B$2,11,16))&lt;&gt;16,"",SUMIFS(MOVIMIENTOS!$F:$F,MOVIMIENTOS!$A:$A,DATE(PORTADA!$B$2,11,16),MOVIMIENTOS!$C:$C,X$4))</f>
        <v/>
      </c>
      <c r="Y20" s="22">
        <f>IF(DAY(DATE(PORTADA!$B$2,11,16))&lt;&gt;16,"",SUMIFS(MOVIMIENTOS!$F:$F,MOVIMIENTOS!$A:$A,DATE(PORTADA!$B$2,11,16),MOVIMIENTOS!$C:$C,Y$4))</f>
        <v/>
      </c>
      <c r="Z20" s="22">
        <f>IF(DAY(DATE(PORTADA!$B$2,11,16))&lt;&gt;16,"",SUMIFS(MOVIMIENTOS!$F:$F,MOVIMIENTOS!$A:$A,DATE(PORTADA!$B$2,11,16),MOVIMIENTOS!$C:$C,Z$4))</f>
        <v/>
      </c>
      <c r="AA20" s="22">
        <f>IF(DAY(DATE(PORTADA!$B$2,11,16))&lt;&gt;16,"",SUM(T20:Z20))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SUMIFS(MOVIMIENTOS!$F:$F,MOVIMIENTOS!$A:$A,"&gt;="&amp;DATE(PORTADA!$B$2,11,1),MOVIMIENTOS!$A:$A,"&lt;="&amp;EOMONTH(DATE(PORTADA!$B$2,11,1),0),MOVIMIENTOS!$D:$D,$B21)</f>
        <v/>
      </c>
      <c r="E21" s="8">
        <f>C21-D21</f>
        <v/>
      </c>
      <c r="F21" s="9">
        <f>IFERROR(D21/C21,"")</f>
        <v/>
      </c>
      <c r="S21" s="21">
        <f>IF(DAY(DATE(PORTADA!$B$2,11,17))&lt;&gt;17,"",17)</f>
        <v/>
      </c>
      <c r="T21" s="22">
        <f>IF(DAY(DATE(PORTADA!$B$2,11,17))&lt;&gt;17,"",SUMIFS(MOVIMIENTOS!$F:$F,MOVIMIENTOS!$A:$A,DATE(PORTADA!$B$2,11,17),MOVIMIENTOS!$C:$C,T$4))</f>
        <v/>
      </c>
      <c r="U21" s="22">
        <f>IF(DAY(DATE(PORTADA!$B$2,11,17))&lt;&gt;17,"",SUMIFS(MOVIMIENTOS!$F:$F,MOVIMIENTOS!$A:$A,DATE(PORTADA!$B$2,11,17),MOVIMIENTOS!$C:$C,U$4))</f>
        <v/>
      </c>
      <c r="V21" s="22">
        <f>IF(DAY(DATE(PORTADA!$B$2,11,17))&lt;&gt;17,"",SUMIFS(MOVIMIENTOS!$F:$F,MOVIMIENTOS!$A:$A,DATE(PORTADA!$B$2,11,17),MOVIMIENTOS!$C:$C,V$4))</f>
        <v/>
      </c>
      <c r="W21" s="22">
        <f>IF(DAY(DATE(PORTADA!$B$2,11,17))&lt;&gt;17,"",SUMIFS(MOVIMIENTOS!$F:$F,MOVIMIENTOS!$A:$A,DATE(PORTADA!$B$2,11,17),MOVIMIENTOS!$C:$C,W$4))</f>
        <v/>
      </c>
      <c r="X21" s="22">
        <f>IF(DAY(DATE(PORTADA!$B$2,11,17))&lt;&gt;17,"",SUMIFS(MOVIMIENTOS!$F:$F,MOVIMIENTOS!$A:$A,DATE(PORTADA!$B$2,11,17),MOVIMIENTOS!$C:$C,X$4))</f>
        <v/>
      </c>
      <c r="Y21" s="22">
        <f>IF(DAY(DATE(PORTADA!$B$2,11,17))&lt;&gt;17,"",SUMIFS(MOVIMIENTOS!$F:$F,MOVIMIENTOS!$A:$A,DATE(PORTADA!$B$2,11,17),MOVIMIENTOS!$C:$C,Y$4))</f>
        <v/>
      </c>
      <c r="Z21" s="22">
        <f>IF(DAY(DATE(PORTADA!$B$2,11,17))&lt;&gt;17,"",SUMIFS(MOVIMIENTOS!$F:$F,MOVIMIENTOS!$A:$A,DATE(PORTADA!$B$2,11,17),MOVIMIENTOS!$C:$C,Z$4))</f>
        <v/>
      </c>
      <c r="AA21" s="22">
        <f>IF(DAY(DATE(PORTADA!$B$2,11,17))&lt;&gt;17,"",SUM(T21:Z21))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SUMIFS(MOVIMIENTOS!$F:$F,MOVIMIENTOS!$A:$A,"&gt;="&amp;DATE(PORTADA!$B$2,11,1),MOVIMIENTOS!$A:$A,"&lt;="&amp;EOMONTH(DATE(PORTADA!$B$2,11,1),0),MOVIMIENTOS!$D:$D,$B22)</f>
        <v/>
      </c>
      <c r="E22" s="8">
        <f>C22-D22</f>
        <v/>
      </c>
      <c r="F22" s="9">
        <f>IFERROR(D22/C22,"")</f>
        <v/>
      </c>
      <c r="S22" s="21">
        <f>IF(DAY(DATE(PORTADA!$B$2,11,18))&lt;&gt;18,"",18)</f>
        <v/>
      </c>
      <c r="T22" s="22">
        <f>IF(DAY(DATE(PORTADA!$B$2,11,18))&lt;&gt;18,"",SUMIFS(MOVIMIENTOS!$F:$F,MOVIMIENTOS!$A:$A,DATE(PORTADA!$B$2,11,18),MOVIMIENTOS!$C:$C,T$4))</f>
        <v/>
      </c>
      <c r="U22" s="22">
        <f>IF(DAY(DATE(PORTADA!$B$2,11,18))&lt;&gt;18,"",SUMIFS(MOVIMIENTOS!$F:$F,MOVIMIENTOS!$A:$A,DATE(PORTADA!$B$2,11,18),MOVIMIENTOS!$C:$C,U$4))</f>
        <v/>
      </c>
      <c r="V22" s="22">
        <f>IF(DAY(DATE(PORTADA!$B$2,11,18))&lt;&gt;18,"",SUMIFS(MOVIMIENTOS!$F:$F,MOVIMIENTOS!$A:$A,DATE(PORTADA!$B$2,11,18),MOVIMIENTOS!$C:$C,V$4))</f>
        <v/>
      </c>
      <c r="W22" s="22">
        <f>IF(DAY(DATE(PORTADA!$B$2,11,18))&lt;&gt;18,"",SUMIFS(MOVIMIENTOS!$F:$F,MOVIMIENTOS!$A:$A,DATE(PORTADA!$B$2,11,18),MOVIMIENTOS!$C:$C,W$4))</f>
        <v/>
      </c>
      <c r="X22" s="22">
        <f>IF(DAY(DATE(PORTADA!$B$2,11,18))&lt;&gt;18,"",SUMIFS(MOVIMIENTOS!$F:$F,MOVIMIENTOS!$A:$A,DATE(PORTADA!$B$2,11,18),MOVIMIENTOS!$C:$C,X$4))</f>
        <v/>
      </c>
      <c r="Y22" s="22">
        <f>IF(DAY(DATE(PORTADA!$B$2,11,18))&lt;&gt;18,"",SUMIFS(MOVIMIENTOS!$F:$F,MOVIMIENTOS!$A:$A,DATE(PORTADA!$B$2,11,18),MOVIMIENTOS!$C:$C,Y$4))</f>
        <v/>
      </c>
      <c r="Z22" s="22">
        <f>IF(DAY(DATE(PORTADA!$B$2,11,18))&lt;&gt;18,"",SUMIFS(MOVIMIENTOS!$F:$F,MOVIMIENTOS!$A:$A,DATE(PORTADA!$B$2,11,18),MOVIMIENTOS!$C:$C,Z$4))</f>
        <v/>
      </c>
      <c r="AA22" s="22">
        <f>IF(DAY(DATE(PORTADA!$B$2,11,18))&lt;&gt;18,"",SUM(T22:Z22))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SUMIFS(MOVIMIENTOS!$F:$F,MOVIMIENTOS!$A:$A,"&gt;="&amp;DATE(PORTADA!$B$2,11,1),MOVIMIENTOS!$A:$A,"&lt;="&amp;EOMONTH(DATE(PORTADA!$B$2,11,1),0),MOVIMIENTOS!$D:$D,$B23)</f>
        <v/>
      </c>
      <c r="E23" s="8">
        <f>C23-D23</f>
        <v/>
      </c>
      <c r="F23" s="9">
        <f>IFERROR(D23/C23,"")</f>
        <v/>
      </c>
      <c r="S23" s="21">
        <f>IF(DAY(DATE(PORTADA!$B$2,11,19))&lt;&gt;19,"",19)</f>
        <v/>
      </c>
      <c r="T23" s="22">
        <f>IF(DAY(DATE(PORTADA!$B$2,11,19))&lt;&gt;19,"",SUMIFS(MOVIMIENTOS!$F:$F,MOVIMIENTOS!$A:$A,DATE(PORTADA!$B$2,11,19),MOVIMIENTOS!$C:$C,T$4))</f>
        <v/>
      </c>
      <c r="U23" s="22">
        <f>IF(DAY(DATE(PORTADA!$B$2,11,19))&lt;&gt;19,"",SUMIFS(MOVIMIENTOS!$F:$F,MOVIMIENTOS!$A:$A,DATE(PORTADA!$B$2,11,19),MOVIMIENTOS!$C:$C,U$4))</f>
        <v/>
      </c>
      <c r="V23" s="22">
        <f>IF(DAY(DATE(PORTADA!$B$2,11,19))&lt;&gt;19,"",SUMIFS(MOVIMIENTOS!$F:$F,MOVIMIENTOS!$A:$A,DATE(PORTADA!$B$2,11,19),MOVIMIENTOS!$C:$C,V$4))</f>
        <v/>
      </c>
      <c r="W23" s="22">
        <f>IF(DAY(DATE(PORTADA!$B$2,11,19))&lt;&gt;19,"",SUMIFS(MOVIMIENTOS!$F:$F,MOVIMIENTOS!$A:$A,DATE(PORTADA!$B$2,11,19),MOVIMIENTOS!$C:$C,W$4))</f>
        <v/>
      </c>
      <c r="X23" s="22">
        <f>IF(DAY(DATE(PORTADA!$B$2,11,19))&lt;&gt;19,"",SUMIFS(MOVIMIENTOS!$F:$F,MOVIMIENTOS!$A:$A,DATE(PORTADA!$B$2,11,19),MOVIMIENTOS!$C:$C,X$4))</f>
        <v/>
      </c>
      <c r="Y23" s="22">
        <f>IF(DAY(DATE(PORTADA!$B$2,11,19))&lt;&gt;19,"",SUMIFS(MOVIMIENTOS!$F:$F,MOVIMIENTOS!$A:$A,DATE(PORTADA!$B$2,11,19),MOVIMIENTOS!$C:$C,Y$4))</f>
        <v/>
      </c>
      <c r="Z23" s="22">
        <f>IF(DAY(DATE(PORTADA!$B$2,11,19))&lt;&gt;19,"",SUMIFS(MOVIMIENTOS!$F:$F,MOVIMIENTOS!$A:$A,DATE(PORTADA!$B$2,11,19),MOVIMIENTOS!$C:$C,Z$4))</f>
        <v/>
      </c>
      <c r="AA23" s="22">
        <f>IF(DAY(DATE(PORTADA!$B$2,11,19))&lt;&gt;19,"",SUM(T23:Z23))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SUMIFS(MOVIMIENTOS!$F:$F,MOVIMIENTOS!$A:$A,"&gt;="&amp;DATE(PORTADA!$B$2,11,1),MOVIMIENTOS!$A:$A,"&lt;="&amp;EOMONTH(DATE(PORTADA!$B$2,11,1),0),MOVIMIENTOS!$D:$D,$B24)</f>
        <v/>
      </c>
      <c r="E24" s="8">
        <f>C24-D24</f>
        <v/>
      </c>
      <c r="F24" s="9">
        <f>IFERROR(D24/C24,"")</f>
        <v/>
      </c>
      <c r="S24" s="21">
        <f>IF(DAY(DATE(PORTADA!$B$2,11,20))&lt;&gt;20,"",20)</f>
        <v/>
      </c>
      <c r="T24" s="22">
        <f>IF(DAY(DATE(PORTADA!$B$2,11,20))&lt;&gt;20,"",SUMIFS(MOVIMIENTOS!$F:$F,MOVIMIENTOS!$A:$A,DATE(PORTADA!$B$2,11,20),MOVIMIENTOS!$C:$C,T$4))</f>
        <v/>
      </c>
      <c r="U24" s="22">
        <f>IF(DAY(DATE(PORTADA!$B$2,11,20))&lt;&gt;20,"",SUMIFS(MOVIMIENTOS!$F:$F,MOVIMIENTOS!$A:$A,DATE(PORTADA!$B$2,11,20),MOVIMIENTOS!$C:$C,U$4))</f>
        <v/>
      </c>
      <c r="V24" s="22">
        <f>IF(DAY(DATE(PORTADA!$B$2,11,20))&lt;&gt;20,"",SUMIFS(MOVIMIENTOS!$F:$F,MOVIMIENTOS!$A:$A,DATE(PORTADA!$B$2,11,20),MOVIMIENTOS!$C:$C,V$4))</f>
        <v/>
      </c>
      <c r="W24" s="22">
        <f>IF(DAY(DATE(PORTADA!$B$2,11,20))&lt;&gt;20,"",SUMIFS(MOVIMIENTOS!$F:$F,MOVIMIENTOS!$A:$A,DATE(PORTADA!$B$2,11,20),MOVIMIENTOS!$C:$C,W$4))</f>
        <v/>
      </c>
      <c r="X24" s="22">
        <f>IF(DAY(DATE(PORTADA!$B$2,11,20))&lt;&gt;20,"",SUMIFS(MOVIMIENTOS!$F:$F,MOVIMIENTOS!$A:$A,DATE(PORTADA!$B$2,11,20),MOVIMIENTOS!$C:$C,X$4))</f>
        <v/>
      </c>
      <c r="Y24" s="22">
        <f>IF(DAY(DATE(PORTADA!$B$2,11,20))&lt;&gt;20,"",SUMIFS(MOVIMIENTOS!$F:$F,MOVIMIENTOS!$A:$A,DATE(PORTADA!$B$2,11,20),MOVIMIENTOS!$C:$C,Y$4))</f>
        <v/>
      </c>
      <c r="Z24" s="22">
        <f>IF(DAY(DATE(PORTADA!$B$2,11,20))&lt;&gt;20,"",SUMIFS(MOVIMIENTOS!$F:$F,MOVIMIENTOS!$A:$A,DATE(PORTADA!$B$2,11,20),MOVIMIENTOS!$C:$C,Z$4))</f>
        <v/>
      </c>
      <c r="AA24" s="22">
        <f>IF(DAY(DATE(PORTADA!$B$2,11,20))&lt;&gt;20,"",SUM(T24:Z24))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SUMIFS(MOVIMIENTOS!$F:$F,MOVIMIENTOS!$A:$A,"&gt;="&amp;DATE(PORTADA!$B$2,11,1),MOVIMIENTOS!$A:$A,"&lt;="&amp;EOMONTH(DATE(PORTADA!$B$2,11,1),0),MOVIMIENTOS!$D:$D,$B25)</f>
        <v/>
      </c>
      <c r="E25" s="8">
        <f>C25-D25</f>
        <v/>
      </c>
      <c r="F25" s="9">
        <f>IFERROR(D25/C25,"")</f>
        <v/>
      </c>
      <c r="S25" s="21">
        <f>IF(DAY(DATE(PORTADA!$B$2,11,21))&lt;&gt;21,"",21)</f>
        <v/>
      </c>
      <c r="T25" s="22">
        <f>IF(DAY(DATE(PORTADA!$B$2,11,21))&lt;&gt;21,"",SUMIFS(MOVIMIENTOS!$F:$F,MOVIMIENTOS!$A:$A,DATE(PORTADA!$B$2,11,21),MOVIMIENTOS!$C:$C,T$4))</f>
        <v/>
      </c>
      <c r="U25" s="22">
        <f>IF(DAY(DATE(PORTADA!$B$2,11,21))&lt;&gt;21,"",SUMIFS(MOVIMIENTOS!$F:$F,MOVIMIENTOS!$A:$A,DATE(PORTADA!$B$2,11,21),MOVIMIENTOS!$C:$C,U$4))</f>
        <v/>
      </c>
      <c r="V25" s="22">
        <f>IF(DAY(DATE(PORTADA!$B$2,11,21))&lt;&gt;21,"",SUMIFS(MOVIMIENTOS!$F:$F,MOVIMIENTOS!$A:$A,DATE(PORTADA!$B$2,11,21),MOVIMIENTOS!$C:$C,V$4))</f>
        <v/>
      </c>
      <c r="W25" s="22">
        <f>IF(DAY(DATE(PORTADA!$B$2,11,21))&lt;&gt;21,"",SUMIFS(MOVIMIENTOS!$F:$F,MOVIMIENTOS!$A:$A,DATE(PORTADA!$B$2,11,21),MOVIMIENTOS!$C:$C,W$4))</f>
        <v/>
      </c>
      <c r="X25" s="22">
        <f>IF(DAY(DATE(PORTADA!$B$2,11,21))&lt;&gt;21,"",SUMIFS(MOVIMIENTOS!$F:$F,MOVIMIENTOS!$A:$A,DATE(PORTADA!$B$2,11,21),MOVIMIENTOS!$C:$C,X$4))</f>
        <v/>
      </c>
      <c r="Y25" s="22">
        <f>IF(DAY(DATE(PORTADA!$B$2,11,21))&lt;&gt;21,"",SUMIFS(MOVIMIENTOS!$F:$F,MOVIMIENTOS!$A:$A,DATE(PORTADA!$B$2,11,21),MOVIMIENTOS!$C:$C,Y$4))</f>
        <v/>
      </c>
      <c r="Z25" s="22">
        <f>IF(DAY(DATE(PORTADA!$B$2,11,21))&lt;&gt;21,"",SUMIFS(MOVIMIENTOS!$F:$F,MOVIMIENTOS!$A:$A,DATE(PORTADA!$B$2,11,21),MOVIMIENTOS!$C:$C,Z$4))</f>
        <v/>
      </c>
      <c r="AA25" s="22">
        <f>IF(DAY(DATE(PORTADA!$B$2,11,21))&lt;&gt;21,"",SUM(T25:Z25))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SUMIFS(MOVIMIENTOS!$F:$F,MOVIMIENTOS!$A:$A,"&gt;="&amp;DATE(PORTADA!$B$2,11,1),MOVIMIENTOS!$A:$A,"&lt;="&amp;EOMONTH(DATE(PORTADA!$B$2,11,1),0),MOVIMIENTOS!$D:$D,$B26)</f>
        <v/>
      </c>
      <c r="E26" s="8">
        <f>C26-D26</f>
        <v/>
      </c>
      <c r="F26" s="9">
        <f>IFERROR(D26/C26,"")</f>
        <v/>
      </c>
      <c r="S26" s="21">
        <f>IF(DAY(DATE(PORTADA!$B$2,11,22))&lt;&gt;22,"",22)</f>
        <v/>
      </c>
      <c r="T26" s="22">
        <f>IF(DAY(DATE(PORTADA!$B$2,11,22))&lt;&gt;22,"",SUMIFS(MOVIMIENTOS!$F:$F,MOVIMIENTOS!$A:$A,DATE(PORTADA!$B$2,11,22),MOVIMIENTOS!$C:$C,T$4))</f>
        <v/>
      </c>
      <c r="U26" s="22">
        <f>IF(DAY(DATE(PORTADA!$B$2,11,22))&lt;&gt;22,"",SUMIFS(MOVIMIENTOS!$F:$F,MOVIMIENTOS!$A:$A,DATE(PORTADA!$B$2,11,22),MOVIMIENTOS!$C:$C,U$4))</f>
        <v/>
      </c>
      <c r="V26" s="22">
        <f>IF(DAY(DATE(PORTADA!$B$2,11,22))&lt;&gt;22,"",SUMIFS(MOVIMIENTOS!$F:$F,MOVIMIENTOS!$A:$A,DATE(PORTADA!$B$2,11,22),MOVIMIENTOS!$C:$C,V$4))</f>
        <v/>
      </c>
      <c r="W26" s="22">
        <f>IF(DAY(DATE(PORTADA!$B$2,11,22))&lt;&gt;22,"",SUMIFS(MOVIMIENTOS!$F:$F,MOVIMIENTOS!$A:$A,DATE(PORTADA!$B$2,11,22),MOVIMIENTOS!$C:$C,W$4))</f>
        <v/>
      </c>
      <c r="X26" s="22">
        <f>IF(DAY(DATE(PORTADA!$B$2,11,22))&lt;&gt;22,"",SUMIFS(MOVIMIENTOS!$F:$F,MOVIMIENTOS!$A:$A,DATE(PORTADA!$B$2,11,22),MOVIMIENTOS!$C:$C,X$4))</f>
        <v/>
      </c>
      <c r="Y26" s="22">
        <f>IF(DAY(DATE(PORTADA!$B$2,11,22))&lt;&gt;22,"",SUMIFS(MOVIMIENTOS!$F:$F,MOVIMIENTOS!$A:$A,DATE(PORTADA!$B$2,11,22),MOVIMIENTOS!$C:$C,Y$4))</f>
        <v/>
      </c>
      <c r="Z26" s="22">
        <f>IF(DAY(DATE(PORTADA!$B$2,11,22))&lt;&gt;22,"",SUMIFS(MOVIMIENTOS!$F:$F,MOVIMIENTOS!$A:$A,DATE(PORTADA!$B$2,11,22),MOVIMIENTOS!$C:$C,Z$4))</f>
        <v/>
      </c>
      <c r="AA26" s="22">
        <f>IF(DAY(DATE(PORTADA!$B$2,11,22))&lt;&gt;22,"",SUM(T26:Z26))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SUMIFS(MOVIMIENTOS!$F:$F,MOVIMIENTOS!$A:$A,"&gt;="&amp;DATE(PORTADA!$B$2,11,1),MOVIMIENTOS!$A:$A,"&lt;="&amp;EOMONTH(DATE(PORTADA!$B$2,11,1),0),MOVIMIENTOS!$D:$D,$B27)</f>
        <v/>
      </c>
      <c r="E27" s="8">
        <f>C27-D27</f>
        <v/>
      </c>
      <c r="F27" s="9">
        <f>IFERROR(D27/C27,"")</f>
        <v/>
      </c>
      <c r="S27" s="21">
        <f>IF(DAY(DATE(PORTADA!$B$2,11,23))&lt;&gt;23,"",23)</f>
        <v/>
      </c>
      <c r="T27" s="22">
        <f>IF(DAY(DATE(PORTADA!$B$2,11,23))&lt;&gt;23,"",SUMIFS(MOVIMIENTOS!$F:$F,MOVIMIENTOS!$A:$A,DATE(PORTADA!$B$2,11,23),MOVIMIENTOS!$C:$C,T$4))</f>
        <v/>
      </c>
      <c r="U27" s="22">
        <f>IF(DAY(DATE(PORTADA!$B$2,11,23))&lt;&gt;23,"",SUMIFS(MOVIMIENTOS!$F:$F,MOVIMIENTOS!$A:$A,DATE(PORTADA!$B$2,11,23),MOVIMIENTOS!$C:$C,U$4))</f>
        <v/>
      </c>
      <c r="V27" s="22">
        <f>IF(DAY(DATE(PORTADA!$B$2,11,23))&lt;&gt;23,"",SUMIFS(MOVIMIENTOS!$F:$F,MOVIMIENTOS!$A:$A,DATE(PORTADA!$B$2,11,23),MOVIMIENTOS!$C:$C,V$4))</f>
        <v/>
      </c>
      <c r="W27" s="22">
        <f>IF(DAY(DATE(PORTADA!$B$2,11,23))&lt;&gt;23,"",SUMIFS(MOVIMIENTOS!$F:$F,MOVIMIENTOS!$A:$A,DATE(PORTADA!$B$2,11,23),MOVIMIENTOS!$C:$C,W$4))</f>
        <v/>
      </c>
      <c r="X27" s="22">
        <f>IF(DAY(DATE(PORTADA!$B$2,11,23))&lt;&gt;23,"",SUMIFS(MOVIMIENTOS!$F:$F,MOVIMIENTOS!$A:$A,DATE(PORTADA!$B$2,11,23),MOVIMIENTOS!$C:$C,X$4))</f>
        <v/>
      </c>
      <c r="Y27" s="22">
        <f>IF(DAY(DATE(PORTADA!$B$2,11,23))&lt;&gt;23,"",SUMIFS(MOVIMIENTOS!$F:$F,MOVIMIENTOS!$A:$A,DATE(PORTADA!$B$2,11,23),MOVIMIENTOS!$C:$C,Y$4))</f>
        <v/>
      </c>
      <c r="Z27" s="22">
        <f>IF(DAY(DATE(PORTADA!$B$2,11,23))&lt;&gt;23,"",SUMIFS(MOVIMIENTOS!$F:$F,MOVIMIENTOS!$A:$A,DATE(PORTADA!$B$2,11,23),MOVIMIENTOS!$C:$C,Z$4))</f>
        <v/>
      </c>
      <c r="AA27" s="22">
        <f>IF(DAY(DATE(PORTADA!$B$2,11,23))&lt;&gt;23,"",SUM(T27:Z27))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SUMIFS(MOVIMIENTOS!$F:$F,MOVIMIENTOS!$A:$A,"&gt;="&amp;DATE(PORTADA!$B$2,11,1),MOVIMIENTOS!$A:$A,"&lt;="&amp;EOMONTH(DATE(PORTADA!$B$2,11,1),0),MOVIMIENTOS!$D:$D,$B28)</f>
        <v/>
      </c>
      <c r="E28" s="8">
        <f>C28-D28</f>
        <v/>
      </c>
      <c r="F28" s="9">
        <f>IFERROR(D28/C28,"")</f>
        <v/>
      </c>
      <c r="S28" s="21">
        <f>IF(DAY(DATE(PORTADA!$B$2,11,24))&lt;&gt;24,"",24)</f>
        <v/>
      </c>
      <c r="T28" s="22">
        <f>IF(DAY(DATE(PORTADA!$B$2,11,24))&lt;&gt;24,"",SUMIFS(MOVIMIENTOS!$F:$F,MOVIMIENTOS!$A:$A,DATE(PORTADA!$B$2,11,24),MOVIMIENTOS!$C:$C,T$4))</f>
        <v/>
      </c>
      <c r="U28" s="22">
        <f>IF(DAY(DATE(PORTADA!$B$2,11,24))&lt;&gt;24,"",SUMIFS(MOVIMIENTOS!$F:$F,MOVIMIENTOS!$A:$A,DATE(PORTADA!$B$2,11,24),MOVIMIENTOS!$C:$C,U$4))</f>
        <v/>
      </c>
      <c r="V28" s="22">
        <f>IF(DAY(DATE(PORTADA!$B$2,11,24))&lt;&gt;24,"",SUMIFS(MOVIMIENTOS!$F:$F,MOVIMIENTOS!$A:$A,DATE(PORTADA!$B$2,11,24),MOVIMIENTOS!$C:$C,V$4))</f>
        <v/>
      </c>
      <c r="W28" s="22">
        <f>IF(DAY(DATE(PORTADA!$B$2,11,24))&lt;&gt;24,"",SUMIFS(MOVIMIENTOS!$F:$F,MOVIMIENTOS!$A:$A,DATE(PORTADA!$B$2,11,24),MOVIMIENTOS!$C:$C,W$4))</f>
        <v/>
      </c>
      <c r="X28" s="22">
        <f>IF(DAY(DATE(PORTADA!$B$2,11,24))&lt;&gt;24,"",SUMIFS(MOVIMIENTOS!$F:$F,MOVIMIENTOS!$A:$A,DATE(PORTADA!$B$2,11,24),MOVIMIENTOS!$C:$C,X$4))</f>
        <v/>
      </c>
      <c r="Y28" s="22">
        <f>IF(DAY(DATE(PORTADA!$B$2,11,24))&lt;&gt;24,"",SUMIFS(MOVIMIENTOS!$F:$F,MOVIMIENTOS!$A:$A,DATE(PORTADA!$B$2,11,24),MOVIMIENTOS!$C:$C,Y$4))</f>
        <v/>
      </c>
      <c r="Z28" s="22">
        <f>IF(DAY(DATE(PORTADA!$B$2,11,24))&lt;&gt;24,"",SUMIFS(MOVIMIENTOS!$F:$F,MOVIMIENTOS!$A:$A,DATE(PORTADA!$B$2,11,24),MOVIMIENTOS!$C:$C,Z$4))</f>
        <v/>
      </c>
      <c r="AA28" s="22">
        <f>IF(DAY(DATE(PORTADA!$B$2,11,24))&lt;&gt;24,"",SUM(T28:Z28))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SUMIFS(MOVIMIENTOS!$F:$F,MOVIMIENTOS!$A:$A,"&gt;="&amp;DATE(PORTADA!$B$2,11,1),MOVIMIENTOS!$A:$A,"&lt;="&amp;EOMONTH(DATE(PORTADA!$B$2,11,1),0),MOVIMIENTOS!$D:$D,$B29)</f>
        <v/>
      </c>
      <c r="E29" s="8">
        <f>C29-D29</f>
        <v/>
      </c>
      <c r="F29" s="9">
        <f>IFERROR(D29/C29,"")</f>
        <v/>
      </c>
      <c r="S29" s="21">
        <f>IF(DAY(DATE(PORTADA!$B$2,11,25))&lt;&gt;25,"",25)</f>
        <v/>
      </c>
      <c r="T29" s="22">
        <f>IF(DAY(DATE(PORTADA!$B$2,11,25))&lt;&gt;25,"",SUMIFS(MOVIMIENTOS!$F:$F,MOVIMIENTOS!$A:$A,DATE(PORTADA!$B$2,11,25),MOVIMIENTOS!$C:$C,T$4))</f>
        <v/>
      </c>
      <c r="U29" s="22">
        <f>IF(DAY(DATE(PORTADA!$B$2,11,25))&lt;&gt;25,"",SUMIFS(MOVIMIENTOS!$F:$F,MOVIMIENTOS!$A:$A,DATE(PORTADA!$B$2,11,25),MOVIMIENTOS!$C:$C,U$4))</f>
        <v/>
      </c>
      <c r="V29" s="22">
        <f>IF(DAY(DATE(PORTADA!$B$2,11,25))&lt;&gt;25,"",SUMIFS(MOVIMIENTOS!$F:$F,MOVIMIENTOS!$A:$A,DATE(PORTADA!$B$2,11,25),MOVIMIENTOS!$C:$C,V$4))</f>
        <v/>
      </c>
      <c r="W29" s="22">
        <f>IF(DAY(DATE(PORTADA!$B$2,11,25))&lt;&gt;25,"",SUMIFS(MOVIMIENTOS!$F:$F,MOVIMIENTOS!$A:$A,DATE(PORTADA!$B$2,11,25),MOVIMIENTOS!$C:$C,W$4))</f>
        <v/>
      </c>
      <c r="X29" s="22">
        <f>IF(DAY(DATE(PORTADA!$B$2,11,25))&lt;&gt;25,"",SUMIFS(MOVIMIENTOS!$F:$F,MOVIMIENTOS!$A:$A,DATE(PORTADA!$B$2,11,25),MOVIMIENTOS!$C:$C,X$4))</f>
        <v/>
      </c>
      <c r="Y29" s="22">
        <f>IF(DAY(DATE(PORTADA!$B$2,11,25))&lt;&gt;25,"",SUMIFS(MOVIMIENTOS!$F:$F,MOVIMIENTOS!$A:$A,DATE(PORTADA!$B$2,11,25),MOVIMIENTOS!$C:$C,Y$4))</f>
        <v/>
      </c>
      <c r="Z29" s="22">
        <f>IF(DAY(DATE(PORTADA!$B$2,11,25))&lt;&gt;25,"",SUMIFS(MOVIMIENTOS!$F:$F,MOVIMIENTOS!$A:$A,DATE(PORTADA!$B$2,11,25),MOVIMIENTOS!$C:$C,Z$4))</f>
        <v/>
      </c>
      <c r="AA29" s="22">
        <f>IF(DAY(DATE(PORTADA!$B$2,11,25))&lt;&gt;25,"",SUM(T29:Z29))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SUMIFS(MOVIMIENTOS!$F:$F,MOVIMIENTOS!$A:$A,"&gt;="&amp;DATE(PORTADA!$B$2,11,1),MOVIMIENTOS!$A:$A,"&lt;="&amp;EOMONTH(DATE(PORTADA!$B$2,11,1),0),MOVIMIENTOS!$D:$D,$B30)</f>
        <v/>
      </c>
      <c r="E30" s="8">
        <f>C30-D30</f>
        <v/>
      </c>
      <c r="F30" s="9">
        <f>IFERROR(D30/C30,"")</f>
        <v/>
      </c>
      <c r="S30" s="21">
        <f>IF(DAY(DATE(PORTADA!$B$2,11,26))&lt;&gt;26,"",26)</f>
        <v/>
      </c>
      <c r="T30" s="22">
        <f>IF(DAY(DATE(PORTADA!$B$2,11,26))&lt;&gt;26,"",SUMIFS(MOVIMIENTOS!$F:$F,MOVIMIENTOS!$A:$A,DATE(PORTADA!$B$2,11,26),MOVIMIENTOS!$C:$C,T$4))</f>
        <v/>
      </c>
      <c r="U30" s="22">
        <f>IF(DAY(DATE(PORTADA!$B$2,11,26))&lt;&gt;26,"",SUMIFS(MOVIMIENTOS!$F:$F,MOVIMIENTOS!$A:$A,DATE(PORTADA!$B$2,11,26),MOVIMIENTOS!$C:$C,U$4))</f>
        <v/>
      </c>
      <c r="V30" s="22">
        <f>IF(DAY(DATE(PORTADA!$B$2,11,26))&lt;&gt;26,"",SUMIFS(MOVIMIENTOS!$F:$F,MOVIMIENTOS!$A:$A,DATE(PORTADA!$B$2,11,26),MOVIMIENTOS!$C:$C,V$4))</f>
        <v/>
      </c>
      <c r="W30" s="22">
        <f>IF(DAY(DATE(PORTADA!$B$2,11,26))&lt;&gt;26,"",SUMIFS(MOVIMIENTOS!$F:$F,MOVIMIENTOS!$A:$A,DATE(PORTADA!$B$2,11,26),MOVIMIENTOS!$C:$C,W$4))</f>
        <v/>
      </c>
      <c r="X30" s="22">
        <f>IF(DAY(DATE(PORTADA!$B$2,11,26))&lt;&gt;26,"",SUMIFS(MOVIMIENTOS!$F:$F,MOVIMIENTOS!$A:$A,DATE(PORTADA!$B$2,11,26),MOVIMIENTOS!$C:$C,X$4))</f>
        <v/>
      </c>
      <c r="Y30" s="22">
        <f>IF(DAY(DATE(PORTADA!$B$2,11,26))&lt;&gt;26,"",SUMIFS(MOVIMIENTOS!$F:$F,MOVIMIENTOS!$A:$A,DATE(PORTADA!$B$2,11,26),MOVIMIENTOS!$C:$C,Y$4))</f>
        <v/>
      </c>
      <c r="Z30" s="22">
        <f>IF(DAY(DATE(PORTADA!$B$2,11,26))&lt;&gt;26,"",SUMIFS(MOVIMIENTOS!$F:$F,MOVIMIENTOS!$A:$A,DATE(PORTADA!$B$2,11,26),MOVIMIENTOS!$C:$C,Z$4))</f>
        <v/>
      </c>
      <c r="AA30" s="22">
        <f>IF(DAY(DATE(PORTADA!$B$2,11,26))&lt;&gt;26,"",SUM(T30:Z30))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SUMIFS(MOVIMIENTOS!$F:$F,MOVIMIENTOS!$A:$A,"&gt;="&amp;DATE(PORTADA!$B$2,11,1),MOVIMIENTOS!$A:$A,"&lt;="&amp;EOMONTH(DATE(PORTADA!$B$2,11,1),0),MOVIMIENTOS!$D:$D,$B31)</f>
        <v/>
      </c>
      <c r="E31" s="8">
        <f>C31-D31</f>
        <v/>
      </c>
      <c r="F31" s="9">
        <f>IFERROR(D31/C31,"")</f>
        <v/>
      </c>
      <c r="S31" s="21">
        <f>IF(DAY(DATE(PORTADA!$B$2,11,27))&lt;&gt;27,"",27)</f>
        <v/>
      </c>
      <c r="T31" s="22">
        <f>IF(DAY(DATE(PORTADA!$B$2,11,27))&lt;&gt;27,"",SUMIFS(MOVIMIENTOS!$F:$F,MOVIMIENTOS!$A:$A,DATE(PORTADA!$B$2,11,27),MOVIMIENTOS!$C:$C,T$4))</f>
        <v/>
      </c>
      <c r="U31" s="22">
        <f>IF(DAY(DATE(PORTADA!$B$2,11,27))&lt;&gt;27,"",SUMIFS(MOVIMIENTOS!$F:$F,MOVIMIENTOS!$A:$A,DATE(PORTADA!$B$2,11,27),MOVIMIENTOS!$C:$C,U$4))</f>
        <v/>
      </c>
      <c r="V31" s="22">
        <f>IF(DAY(DATE(PORTADA!$B$2,11,27))&lt;&gt;27,"",SUMIFS(MOVIMIENTOS!$F:$F,MOVIMIENTOS!$A:$A,DATE(PORTADA!$B$2,11,27),MOVIMIENTOS!$C:$C,V$4))</f>
        <v/>
      </c>
      <c r="W31" s="22">
        <f>IF(DAY(DATE(PORTADA!$B$2,11,27))&lt;&gt;27,"",SUMIFS(MOVIMIENTOS!$F:$F,MOVIMIENTOS!$A:$A,DATE(PORTADA!$B$2,11,27),MOVIMIENTOS!$C:$C,W$4))</f>
        <v/>
      </c>
      <c r="X31" s="22">
        <f>IF(DAY(DATE(PORTADA!$B$2,11,27))&lt;&gt;27,"",SUMIFS(MOVIMIENTOS!$F:$F,MOVIMIENTOS!$A:$A,DATE(PORTADA!$B$2,11,27),MOVIMIENTOS!$C:$C,X$4))</f>
        <v/>
      </c>
      <c r="Y31" s="22">
        <f>IF(DAY(DATE(PORTADA!$B$2,11,27))&lt;&gt;27,"",SUMIFS(MOVIMIENTOS!$F:$F,MOVIMIENTOS!$A:$A,DATE(PORTADA!$B$2,11,27),MOVIMIENTOS!$C:$C,Y$4))</f>
        <v/>
      </c>
      <c r="Z31" s="22">
        <f>IF(DAY(DATE(PORTADA!$B$2,11,27))&lt;&gt;27,"",SUMIFS(MOVIMIENTOS!$F:$F,MOVIMIENTOS!$A:$A,DATE(PORTADA!$B$2,11,27),MOVIMIENTOS!$C:$C,Z$4))</f>
        <v/>
      </c>
      <c r="AA31" s="22">
        <f>IF(DAY(DATE(PORTADA!$B$2,11,27))&lt;&gt;27,"",SUM(T31:Z31))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SUMIFS(MOVIMIENTOS!$F:$F,MOVIMIENTOS!$A:$A,"&gt;="&amp;DATE(PORTADA!$B$2,11,1),MOVIMIENTOS!$A:$A,"&lt;="&amp;EOMONTH(DATE(PORTADA!$B$2,11,1),0),MOVIMIENTOS!$D:$D,$B32)</f>
        <v/>
      </c>
      <c r="E32" s="8">
        <f>C32-D32</f>
        <v/>
      </c>
      <c r="F32" s="9">
        <f>IFERROR(D32/C32,"")</f>
        <v/>
      </c>
      <c r="S32" s="21">
        <f>IF(DAY(DATE(PORTADA!$B$2,11,28))&lt;&gt;28,"",28)</f>
        <v/>
      </c>
      <c r="T32" s="22">
        <f>IF(DAY(DATE(PORTADA!$B$2,11,28))&lt;&gt;28,"",SUMIFS(MOVIMIENTOS!$F:$F,MOVIMIENTOS!$A:$A,DATE(PORTADA!$B$2,11,28),MOVIMIENTOS!$C:$C,T$4))</f>
        <v/>
      </c>
      <c r="U32" s="22">
        <f>IF(DAY(DATE(PORTADA!$B$2,11,28))&lt;&gt;28,"",SUMIFS(MOVIMIENTOS!$F:$F,MOVIMIENTOS!$A:$A,DATE(PORTADA!$B$2,11,28),MOVIMIENTOS!$C:$C,U$4))</f>
        <v/>
      </c>
      <c r="V32" s="22">
        <f>IF(DAY(DATE(PORTADA!$B$2,11,28))&lt;&gt;28,"",SUMIFS(MOVIMIENTOS!$F:$F,MOVIMIENTOS!$A:$A,DATE(PORTADA!$B$2,11,28),MOVIMIENTOS!$C:$C,V$4))</f>
        <v/>
      </c>
      <c r="W32" s="22">
        <f>IF(DAY(DATE(PORTADA!$B$2,11,28))&lt;&gt;28,"",SUMIFS(MOVIMIENTOS!$F:$F,MOVIMIENTOS!$A:$A,DATE(PORTADA!$B$2,11,28),MOVIMIENTOS!$C:$C,W$4))</f>
        <v/>
      </c>
      <c r="X32" s="22">
        <f>IF(DAY(DATE(PORTADA!$B$2,11,28))&lt;&gt;28,"",SUMIFS(MOVIMIENTOS!$F:$F,MOVIMIENTOS!$A:$A,DATE(PORTADA!$B$2,11,28),MOVIMIENTOS!$C:$C,X$4))</f>
        <v/>
      </c>
      <c r="Y32" s="22">
        <f>IF(DAY(DATE(PORTADA!$B$2,11,28))&lt;&gt;28,"",SUMIFS(MOVIMIENTOS!$F:$F,MOVIMIENTOS!$A:$A,DATE(PORTADA!$B$2,11,28),MOVIMIENTOS!$C:$C,Y$4))</f>
        <v/>
      </c>
      <c r="Z32" s="22">
        <f>IF(DAY(DATE(PORTADA!$B$2,11,28))&lt;&gt;28,"",SUMIFS(MOVIMIENTOS!$F:$F,MOVIMIENTOS!$A:$A,DATE(PORTADA!$B$2,11,28),MOVIMIENTOS!$C:$C,Z$4))</f>
        <v/>
      </c>
      <c r="AA32" s="22">
        <f>IF(DAY(DATE(PORTADA!$B$2,11,28))&lt;&gt;28,"",SUM(T32:Z32))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SUMIFS(MOVIMIENTOS!$F:$F,MOVIMIENTOS!$A:$A,"&gt;="&amp;DATE(PORTADA!$B$2,11,1),MOVIMIENTOS!$A:$A,"&lt;="&amp;EOMONTH(DATE(PORTADA!$B$2,11,1),0),MOVIMIENTOS!$D:$D,$B33)</f>
        <v/>
      </c>
      <c r="E33" s="8">
        <f>C33-D33</f>
        <v/>
      </c>
      <c r="F33" s="9">
        <f>IFERROR(D33/C33,"")</f>
        <v/>
      </c>
      <c r="S33" s="21">
        <f>IF(DAY(DATE(PORTADA!$B$2,11,29))&lt;&gt;29,"",29)</f>
        <v/>
      </c>
      <c r="T33" s="22">
        <f>IF(DAY(DATE(PORTADA!$B$2,11,29))&lt;&gt;29,"",SUMIFS(MOVIMIENTOS!$F:$F,MOVIMIENTOS!$A:$A,DATE(PORTADA!$B$2,11,29),MOVIMIENTOS!$C:$C,T$4))</f>
        <v/>
      </c>
      <c r="U33" s="22">
        <f>IF(DAY(DATE(PORTADA!$B$2,11,29))&lt;&gt;29,"",SUMIFS(MOVIMIENTOS!$F:$F,MOVIMIENTOS!$A:$A,DATE(PORTADA!$B$2,11,29),MOVIMIENTOS!$C:$C,U$4))</f>
        <v/>
      </c>
      <c r="V33" s="22">
        <f>IF(DAY(DATE(PORTADA!$B$2,11,29))&lt;&gt;29,"",SUMIFS(MOVIMIENTOS!$F:$F,MOVIMIENTOS!$A:$A,DATE(PORTADA!$B$2,11,29),MOVIMIENTOS!$C:$C,V$4))</f>
        <v/>
      </c>
      <c r="W33" s="22">
        <f>IF(DAY(DATE(PORTADA!$B$2,11,29))&lt;&gt;29,"",SUMIFS(MOVIMIENTOS!$F:$F,MOVIMIENTOS!$A:$A,DATE(PORTADA!$B$2,11,29),MOVIMIENTOS!$C:$C,W$4))</f>
        <v/>
      </c>
      <c r="X33" s="22">
        <f>IF(DAY(DATE(PORTADA!$B$2,11,29))&lt;&gt;29,"",SUMIFS(MOVIMIENTOS!$F:$F,MOVIMIENTOS!$A:$A,DATE(PORTADA!$B$2,11,29),MOVIMIENTOS!$C:$C,X$4))</f>
        <v/>
      </c>
      <c r="Y33" s="22">
        <f>IF(DAY(DATE(PORTADA!$B$2,11,29))&lt;&gt;29,"",SUMIFS(MOVIMIENTOS!$F:$F,MOVIMIENTOS!$A:$A,DATE(PORTADA!$B$2,11,29),MOVIMIENTOS!$C:$C,Y$4))</f>
        <v/>
      </c>
      <c r="Z33" s="22">
        <f>IF(DAY(DATE(PORTADA!$B$2,11,29))&lt;&gt;29,"",SUMIFS(MOVIMIENTOS!$F:$F,MOVIMIENTOS!$A:$A,DATE(PORTADA!$B$2,11,29),MOVIMIENTOS!$C:$C,Z$4))</f>
        <v/>
      </c>
      <c r="AA33" s="22">
        <f>IF(DAY(DATE(PORTADA!$B$2,11,29))&lt;&gt;29,"",SUM(T33:Z33))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SUMIFS(MOVIMIENTOS!$F:$F,MOVIMIENTOS!$A:$A,"&gt;="&amp;DATE(PORTADA!$B$2,11,1),MOVIMIENTOS!$A:$A,"&lt;="&amp;EOMONTH(DATE(PORTADA!$B$2,11,1),0),MOVIMIENTOS!$D:$D,$B34)</f>
        <v/>
      </c>
      <c r="E34" s="8">
        <f>C34-D34</f>
        <v/>
      </c>
      <c r="F34" s="9">
        <f>IFERROR(D34/C34,"")</f>
        <v/>
      </c>
      <c r="S34" s="21">
        <f>IF(DAY(DATE(PORTADA!$B$2,11,30))&lt;&gt;30,"",30)</f>
        <v/>
      </c>
      <c r="T34" s="22">
        <f>IF(DAY(DATE(PORTADA!$B$2,11,30))&lt;&gt;30,"",SUMIFS(MOVIMIENTOS!$F:$F,MOVIMIENTOS!$A:$A,DATE(PORTADA!$B$2,11,30),MOVIMIENTOS!$C:$C,T$4))</f>
        <v/>
      </c>
      <c r="U34" s="22">
        <f>IF(DAY(DATE(PORTADA!$B$2,11,30))&lt;&gt;30,"",SUMIFS(MOVIMIENTOS!$F:$F,MOVIMIENTOS!$A:$A,DATE(PORTADA!$B$2,11,30),MOVIMIENTOS!$C:$C,U$4))</f>
        <v/>
      </c>
      <c r="V34" s="22">
        <f>IF(DAY(DATE(PORTADA!$B$2,11,30))&lt;&gt;30,"",SUMIFS(MOVIMIENTOS!$F:$F,MOVIMIENTOS!$A:$A,DATE(PORTADA!$B$2,11,30),MOVIMIENTOS!$C:$C,V$4))</f>
        <v/>
      </c>
      <c r="W34" s="22">
        <f>IF(DAY(DATE(PORTADA!$B$2,11,30))&lt;&gt;30,"",SUMIFS(MOVIMIENTOS!$F:$F,MOVIMIENTOS!$A:$A,DATE(PORTADA!$B$2,11,30),MOVIMIENTOS!$C:$C,W$4))</f>
        <v/>
      </c>
      <c r="X34" s="22">
        <f>IF(DAY(DATE(PORTADA!$B$2,11,30))&lt;&gt;30,"",SUMIFS(MOVIMIENTOS!$F:$F,MOVIMIENTOS!$A:$A,DATE(PORTADA!$B$2,11,30),MOVIMIENTOS!$C:$C,X$4))</f>
        <v/>
      </c>
      <c r="Y34" s="22">
        <f>IF(DAY(DATE(PORTADA!$B$2,11,30))&lt;&gt;30,"",SUMIFS(MOVIMIENTOS!$F:$F,MOVIMIENTOS!$A:$A,DATE(PORTADA!$B$2,11,30),MOVIMIENTOS!$C:$C,Y$4))</f>
        <v/>
      </c>
      <c r="Z34" s="22">
        <f>IF(DAY(DATE(PORTADA!$B$2,11,30))&lt;&gt;30,"",SUMIFS(MOVIMIENTOS!$F:$F,MOVIMIENTOS!$A:$A,DATE(PORTADA!$B$2,11,30),MOVIMIENTOS!$C:$C,Z$4))</f>
        <v/>
      </c>
      <c r="AA34" s="22">
        <f>IF(DAY(DATE(PORTADA!$B$2,11,30))&lt;&gt;30,"",SUM(T34:Z34))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SUMIFS(MOVIMIENTOS!$F:$F,MOVIMIENTOS!$A:$A,"&gt;="&amp;DATE(PORTADA!$B$2,11,1),MOVIMIENTOS!$A:$A,"&lt;="&amp;EOMONTH(DATE(PORTADA!$B$2,11,1),0),MOVIMIENTOS!$D:$D,$B35)</f>
        <v/>
      </c>
      <c r="E35" s="8">
        <f>C35-D35</f>
        <v/>
      </c>
      <c r="F35" s="9">
        <f>IFERROR(D35/C35,"")</f>
        <v/>
      </c>
      <c r="S35" s="21">
        <f>IF(DAY(DATE(PORTADA!$B$2,11,31))&lt;&gt;31,"",31)</f>
        <v/>
      </c>
      <c r="T35" s="22">
        <f>IF(DAY(DATE(PORTADA!$B$2,11,31))&lt;&gt;31,"",SUMIFS(MOVIMIENTOS!$F:$F,MOVIMIENTOS!$A:$A,DATE(PORTADA!$B$2,11,31),MOVIMIENTOS!$C:$C,T$4))</f>
        <v/>
      </c>
      <c r="U35" s="22">
        <f>IF(DAY(DATE(PORTADA!$B$2,11,31))&lt;&gt;31,"",SUMIFS(MOVIMIENTOS!$F:$F,MOVIMIENTOS!$A:$A,DATE(PORTADA!$B$2,11,31),MOVIMIENTOS!$C:$C,U$4))</f>
        <v/>
      </c>
      <c r="V35" s="22">
        <f>IF(DAY(DATE(PORTADA!$B$2,11,31))&lt;&gt;31,"",SUMIFS(MOVIMIENTOS!$F:$F,MOVIMIENTOS!$A:$A,DATE(PORTADA!$B$2,11,31),MOVIMIENTOS!$C:$C,V$4))</f>
        <v/>
      </c>
      <c r="W35" s="22">
        <f>IF(DAY(DATE(PORTADA!$B$2,11,31))&lt;&gt;31,"",SUMIFS(MOVIMIENTOS!$F:$F,MOVIMIENTOS!$A:$A,DATE(PORTADA!$B$2,11,31),MOVIMIENTOS!$C:$C,W$4))</f>
        <v/>
      </c>
      <c r="X35" s="22">
        <f>IF(DAY(DATE(PORTADA!$B$2,11,31))&lt;&gt;31,"",SUMIFS(MOVIMIENTOS!$F:$F,MOVIMIENTOS!$A:$A,DATE(PORTADA!$B$2,11,31),MOVIMIENTOS!$C:$C,X$4))</f>
        <v/>
      </c>
      <c r="Y35" s="22">
        <f>IF(DAY(DATE(PORTADA!$B$2,11,31))&lt;&gt;31,"",SUMIFS(MOVIMIENTOS!$F:$F,MOVIMIENTOS!$A:$A,DATE(PORTADA!$B$2,11,31),MOVIMIENTOS!$C:$C,Y$4))</f>
        <v/>
      </c>
      <c r="Z35" s="22">
        <f>IF(DAY(DATE(PORTADA!$B$2,11,31))&lt;&gt;31,"",SUMIFS(MOVIMIENTOS!$F:$F,MOVIMIENTOS!$A:$A,DATE(PORTADA!$B$2,11,31),MOVIMIENTOS!$C:$C,Z$4))</f>
        <v/>
      </c>
      <c r="AA35" s="22">
        <f>IF(DAY(DATE(PORTADA!$B$2,11,31))&lt;&gt;31,"",SUM(T35:Z35))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SUMIFS(MOVIMIENTOS!$F:$F,MOVIMIENTOS!$A:$A,"&gt;="&amp;DATE(PORTADA!$B$2,11,1),MOVIMIENTOS!$A:$A,"&lt;="&amp;EOMONTH(DATE(PORTADA!$B$2,11,1),0),MOVIMIENTOS!$D:$D,$B36)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SUMIFS(MOVIMIENTOS!$F:$F,MOVIMIENTOS!$A:$A,"&gt;="&amp;DATE(PORTADA!$B$2,11,1),MOVIMIENTOS!$A:$A,"&lt;="&amp;EOMONTH(DATE(PORTADA!$B$2,11,1),0),MOVIMIENTOS!$D:$D,$B37)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SUMIFS(MOVIMIENTOS!$F:$F,MOVIMIENTOS!$A:$A,"&gt;="&amp;DATE(PORTADA!$B$2,11,1),MOVIMIENTOS!$A:$A,"&lt;="&amp;EOMONTH(DATE(PORTADA!$B$2,11,1),0),MOVIMIENTOS!$D:$D,$B38)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SUMIFS(MOVIMIENTOS!$F:$F,MOVIMIENTOS!$A:$A,"&gt;="&amp;DATE(PORTADA!$B$2,11,1),MOVIMIENTOS!$A:$A,"&lt;="&amp;EOMONTH(DATE(PORTADA!$B$2,11,1),0),MOVIMIENTOS!$D:$D,$B39)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SUMIFS(MOVIMIENTOS!$F:$F,MOVIMIENTOS!$A:$A,"&gt;="&amp;DATE(PORTADA!$B$2,11,1),MOVIMIENTOS!$A:$A,"&lt;="&amp;EOMONTH(DATE(PORTADA!$B$2,11,1),0),MOVIMIENTOS!$E:$E,"GASTO")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SUMIFS(MOVIMIENTOS!$F:$F,MOVIMIENTOS!$A:$A,"&gt;="&amp;DATE(PORTADA!$B$2,11,1),MOVIMIENTOS!$A:$A,"&lt;="&amp;EOMONTH(DATE(PORTADA!$B$2,11,1),0),MOVIMIENTOS!$E:$E,"AHORRO")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SUMIFS(MOVIMIENTOS!$F:$F,MOVIMIENTOS!$A:$A,"&gt;="&amp;DATE(PORTADA!$B$2,11,1),MOVIMIENTOS!$A:$A,"&lt;="&amp;EOMONTH(DATE(PORTADA!$B$2,11,1),0),MOVIMIENTOS!$E:$E,"DEUDA")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 ht="30" customHeight="1">
      <c r="A1" s="1" t="inlineStr">
        <is>
          <t>DICIEMBRE  ·  ingresos y egresos</t>
        </is>
      </c>
    </row>
    <row r="2">
      <c r="A2" s="4">
        <f>CONCATENATE("Año ",PORTADA!$B$2,"   ·   verde = lo escribes tú   ·   azul = se calcula solo")</f>
        <v/>
      </c>
    </row>
    <row r="3">
      <c r="S3" s="2" t="inlineStr">
        <is>
          <t>DÍA A DÍA</t>
        </is>
      </c>
    </row>
    <row r="4" ht="30" customHeight="1">
      <c r="A4" s="2" t="inlineStr">
        <is>
          <t>INGRESOS</t>
        </is>
      </c>
      <c r="S4" s="20" t="inlineStr">
        <is>
          <t>DÍA</t>
        </is>
      </c>
      <c r="T4" s="20" t="inlineStr">
        <is>
          <t>CUENTAS PERSONALES</t>
        </is>
      </c>
      <c r="U4" s="20" t="inlineStr">
        <is>
          <t>HIJOS</t>
        </is>
      </c>
      <c r="V4" s="20" t="inlineStr">
        <is>
          <t>CASA</t>
        </is>
      </c>
      <c r="W4" s="20" t="inlineStr">
        <is>
          <t>SALUD</t>
        </is>
      </c>
      <c r="X4" s="20" t="inlineStr">
        <is>
          <t>AUTO</t>
        </is>
      </c>
      <c r="Y4" s="20" t="inlineStr">
        <is>
          <t>DIVERSION</t>
        </is>
      </c>
      <c r="Z4" s="20" t="inlineStr">
        <is>
          <t>OTROS</t>
        </is>
      </c>
      <c r="AA4" s="20" t="inlineStr">
        <is>
          <t>TOTAL</t>
        </is>
      </c>
    </row>
    <row r="5">
      <c r="A5" s="7" t="inlineStr">
        <is>
          <t>GRUPO</t>
        </is>
      </c>
      <c r="B5" s="7" t="inlineStr">
        <is>
          <t>CATEGORÍA</t>
        </is>
      </c>
      <c r="C5" s="7" t="inlineStr">
        <is>
          <t>PRESUPUESTO</t>
        </is>
      </c>
      <c r="D5" s="7" t="inlineStr">
        <is>
          <t>REAL</t>
        </is>
      </c>
      <c r="E5" s="7" t="inlineStr">
        <is>
          <t>DIFERENCIA</t>
        </is>
      </c>
      <c r="F5" s="7" t="inlineStr">
        <is>
          <t>% LOGRO</t>
        </is>
      </c>
      <c r="S5" s="21">
        <f>IF(DAY(DATE(PORTADA!$B$2,12,1))&lt;&gt;1,"",1)</f>
        <v/>
      </c>
      <c r="T5" s="22">
        <f>IF(DAY(DATE(PORTADA!$B$2,12,1))&lt;&gt;1,"",SUMIFS(MOVIMIENTOS!$F:$F,MOVIMIENTOS!$A:$A,DATE(PORTADA!$B$2,12,1),MOVIMIENTOS!$C:$C,T$4))</f>
        <v/>
      </c>
      <c r="U5" s="22">
        <f>IF(DAY(DATE(PORTADA!$B$2,12,1))&lt;&gt;1,"",SUMIFS(MOVIMIENTOS!$F:$F,MOVIMIENTOS!$A:$A,DATE(PORTADA!$B$2,12,1),MOVIMIENTOS!$C:$C,U$4))</f>
        <v/>
      </c>
      <c r="V5" s="22">
        <f>IF(DAY(DATE(PORTADA!$B$2,12,1))&lt;&gt;1,"",SUMIFS(MOVIMIENTOS!$F:$F,MOVIMIENTOS!$A:$A,DATE(PORTADA!$B$2,12,1),MOVIMIENTOS!$C:$C,V$4))</f>
        <v/>
      </c>
      <c r="W5" s="22">
        <f>IF(DAY(DATE(PORTADA!$B$2,12,1))&lt;&gt;1,"",SUMIFS(MOVIMIENTOS!$F:$F,MOVIMIENTOS!$A:$A,DATE(PORTADA!$B$2,12,1),MOVIMIENTOS!$C:$C,W$4))</f>
        <v/>
      </c>
      <c r="X5" s="22">
        <f>IF(DAY(DATE(PORTADA!$B$2,12,1))&lt;&gt;1,"",SUMIFS(MOVIMIENTOS!$F:$F,MOVIMIENTOS!$A:$A,DATE(PORTADA!$B$2,12,1),MOVIMIENTOS!$C:$C,X$4))</f>
        <v/>
      </c>
      <c r="Y5" s="22">
        <f>IF(DAY(DATE(PORTADA!$B$2,12,1))&lt;&gt;1,"",SUMIFS(MOVIMIENTOS!$F:$F,MOVIMIENTOS!$A:$A,DATE(PORTADA!$B$2,12,1),MOVIMIENTOS!$C:$C,Y$4))</f>
        <v/>
      </c>
      <c r="Z5" s="22">
        <f>IF(DAY(DATE(PORTADA!$B$2,12,1))&lt;&gt;1,"",SUMIFS(MOVIMIENTOS!$F:$F,MOVIMIENTOS!$A:$A,DATE(PORTADA!$B$2,12,1),MOVIMIENTOS!$C:$C,Z$4))</f>
        <v/>
      </c>
      <c r="AA5" s="22">
        <f>IF(DAY(DATE(PORTADA!$B$2,12,1))&lt;&gt;1,"",SUM(T5:Z5))</f>
        <v/>
      </c>
    </row>
    <row r="6">
      <c r="A6" s="23" t="inlineStr">
        <is>
          <t>SUELDO</t>
        </is>
      </c>
      <c r="B6" s="23" t="inlineStr">
        <is>
          <t>QUINCENA</t>
        </is>
      </c>
      <c r="C6" s="8">
        <f>CATEGORIAS!$E$4</f>
        <v/>
      </c>
      <c r="D6" s="8">
        <f>SUMIFS(MOVIMIENTOS!$F:$F,MOVIMIENTOS!$A:$A,"&gt;="&amp;DATE(PORTADA!$B$2,12,1),MOVIMIENTOS!$A:$A,"&lt;="&amp;EOMONTH(DATE(PORTADA!$B$2,12,1),0),MOVIMIENTOS!$D:$D,$B6)</f>
        <v/>
      </c>
      <c r="E6" s="8">
        <f>D6-C6</f>
        <v/>
      </c>
      <c r="F6" s="9">
        <f>IFERROR(D6/C6,"")</f>
        <v/>
      </c>
      <c r="S6" s="21">
        <f>IF(DAY(DATE(PORTADA!$B$2,12,2))&lt;&gt;2,"",2)</f>
        <v/>
      </c>
      <c r="T6" s="22">
        <f>IF(DAY(DATE(PORTADA!$B$2,12,2))&lt;&gt;2,"",SUMIFS(MOVIMIENTOS!$F:$F,MOVIMIENTOS!$A:$A,DATE(PORTADA!$B$2,12,2),MOVIMIENTOS!$C:$C,T$4))</f>
        <v/>
      </c>
      <c r="U6" s="22">
        <f>IF(DAY(DATE(PORTADA!$B$2,12,2))&lt;&gt;2,"",SUMIFS(MOVIMIENTOS!$F:$F,MOVIMIENTOS!$A:$A,DATE(PORTADA!$B$2,12,2),MOVIMIENTOS!$C:$C,U$4))</f>
        <v/>
      </c>
      <c r="V6" s="22">
        <f>IF(DAY(DATE(PORTADA!$B$2,12,2))&lt;&gt;2,"",SUMIFS(MOVIMIENTOS!$F:$F,MOVIMIENTOS!$A:$A,DATE(PORTADA!$B$2,12,2),MOVIMIENTOS!$C:$C,V$4))</f>
        <v/>
      </c>
      <c r="W6" s="22">
        <f>IF(DAY(DATE(PORTADA!$B$2,12,2))&lt;&gt;2,"",SUMIFS(MOVIMIENTOS!$F:$F,MOVIMIENTOS!$A:$A,DATE(PORTADA!$B$2,12,2),MOVIMIENTOS!$C:$C,W$4))</f>
        <v/>
      </c>
      <c r="X6" s="22">
        <f>IF(DAY(DATE(PORTADA!$B$2,12,2))&lt;&gt;2,"",SUMIFS(MOVIMIENTOS!$F:$F,MOVIMIENTOS!$A:$A,DATE(PORTADA!$B$2,12,2),MOVIMIENTOS!$C:$C,X$4))</f>
        <v/>
      </c>
      <c r="Y6" s="22">
        <f>IF(DAY(DATE(PORTADA!$B$2,12,2))&lt;&gt;2,"",SUMIFS(MOVIMIENTOS!$F:$F,MOVIMIENTOS!$A:$A,DATE(PORTADA!$B$2,12,2),MOVIMIENTOS!$C:$C,Y$4))</f>
        <v/>
      </c>
      <c r="Z6" s="22">
        <f>IF(DAY(DATE(PORTADA!$B$2,12,2))&lt;&gt;2,"",SUMIFS(MOVIMIENTOS!$F:$F,MOVIMIENTOS!$A:$A,DATE(PORTADA!$B$2,12,2),MOVIMIENTOS!$C:$C,Z$4))</f>
        <v/>
      </c>
      <c r="AA6" s="22">
        <f>IF(DAY(DATE(PORTADA!$B$2,12,2))&lt;&gt;2,"",SUM(T6:Z6))</f>
        <v/>
      </c>
    </row>
    <row r="7">
      <c r="A7" s="23" t="inlineStr">
        <is>
          <t>SUELDO</t>
        </is>
      </c>
      <c r="B7" s="23" t="inlineStr">
        <is>
          <t>PAGO FIN DE MES</t>
        </is>
      </c>
      <c r="C7" s="8">
        <f>CATEGORIAS!$E$5</f>
        <v/>
      </c>
      <c r="D7" s="8">
        <f>SUMIFS(MOVIMIENTOS!$F:$F,MOVIMIENTOS!$A:$A,"&gt;="&amp;DATE(PORTADA!$B$2,12,1),MOVIMIENTOS!$A:$A,"&lt;="&amp;EOMONTH(DATE(PORTADA!$B$2,12,1),0),MOVIMIENTOS!$D:$D,$B7)</f>
        <v/>
      </c>
      <c r="E7" s="8">
        <f>D7-C7</f>
        <v/>
      </c>
      <c r="F7" s="9">
        <f>IFERROR(D7/C7,"")</f>
        <v/>
      </c>
      <c r="S7" s="21">
        <f>IF(DAY(DATE(PORTADA!$B$2,12,3))&lt;&gt;3,"",3)</f>
        <v/>
      </c>
      <c r="T7" s="22">
        <f>IF(DAY(DATE(PORTADA!$B$2,12,3))&lt;&gt;3,"",SUMIFS(MOVIMIENTOS!$F:$F,MOVIMIENTOS!$A:$A,DATE(PORTADA!$B$2,12,3),MOVIMIENTOS!$C:$C,T$4))</f>
        <v/>
      </c>
      <c r="U7" s="22">
        <f>IF(DAY(DATE(PORTADA!$B$2,12,3))&lt;&gt;3,"",SUMIFS(MOVIMIENTOS!$F:$F,MOVIMIENTOS!$A:$A,DATE(PORTADA!$B$2,12,3),MOVIMIENTOS!$C:$C,U$4))</f>
        <v/>
      </c>
      <c r="V7" s="22">
        <f>IF(DAY(DATE(PORTADA!$B$2,12,3))&lt;&gt;3,"",SUMIFS(MOVIMIENTOS!$F:$F,MOVIMIENTOS!$A:$A,DATE(PORTADA!$B$2,12,3),MOVIMIENTOS!$C:$C,V$4))</f>
        <v/>
      </c>
      <c r="W7" s="22">
        <f>IF(DAY(DATE(PORTADA!$B$2,12,3))&lt;&gt;3,"",SUMIFS(MOVIMIENTOS!$F:$F,MOVIMIENTOS!$A:$A,DATE(PORTADA!$B$2,12,3),MOVIMIENTOS!$C:$C,W$4))</f>
        <v/>
      </c>
      <c r="X7" s="22">
        <f>IF(DAY(DATE(PORTADA!$B$2,12,3))&lt;&gt;3,"",SUMIFS(MOVIMIENTOS!$F:$F,MOVIMIENTOS!$A:$A,DATE(PORTADA!$B$2,12,3),MOVIMIENTOS!$C:$C,X$4))</f>
        <v/>
      </c>
      <c r="Y7" s="22">
        <f>IF(DAY(DATE(PORTADA!$B$2,12,3))&lt;&gt;3,"",SUMIFS(MOVIMIENTOS!$F:$F,MOVIMIENTOS!$A:$A,DATE(PORTADA!$B$2,12,3),MOVIMIENTOS!$C:$C,Y$4))</f>
        <v/>
      </c>
      <c r="Z7" s="22">
        <f>IF(DAY(DATE(PORTADA!$B$2,12,3))&lt;&gt;3,"",SUMIFS(MOVIMIENTOS!$F:$F,MOVIMIENTOS!$A:$A,DATE(PORTADA!$B$2,12,3),MOVIMIENTOS!$C:$C,Z$4))</f>
        <v/>
      </c>
      <c r="AA7" s="22">
        <f>IF(DAY(DATE(PORTADA!$B$2,12,3))&lt;&gt;3,"",SUM(T7:Z7))</f>
        <v/>
      </c>
    </row>
    <row r="8">
      <c r="A8" s="23" t="inlineStr">
        <is>
          <t>NEGOCIO</t>
        </is>
      </c>
      <c r="B8" s="23" t="inlineStr">
        <is>
          <t>EFFICIENTCHILE</t>
        </is>
      </c>
      <c r="C8" s="8">
        <f>CATEGORIAS!$E$6</f>
        <v/>
      </c>
      <c r="D8" s="8">
        <f>SUMIFS(MOVIMIENTOS!$F:$F,MOVIMIENTOS!$A:$A,"&gt;="&amp;DATE(PORTADA!$B$2,12,1),MOVIMIENTOS!$A:$A,"&lt;="&amp;EOMONTH(DATE(PORTADA!$B$2,12,1),0),MOVIMIENTOS!$D:$D,$B8)</f>
        <v/>
      </c>
      <c r="E8" s="8">
        <f>D8-C8</f>
        <v/>
      </c>
      <c r="F8" s="9">
        <f>IFERROR(D8/C8,"")</f>
        <v/>
      </c>
      <c r="S8" s="21">
        <f>IF(DAY(DATE(PORTADA!$B$2,12,4))&lt;&gt;4,"",4)</f>
        <v/>
      </c>
      <c r="T8" s="22">
        <f>IF(DAY(DATE(PORTADA!$B$2,12,4))&lt;&gt;4,"",SUMIFS(MOVIMIENTOS!$F:$F,MOVIMIENTOS!$A:$A,DATE(PORTADA!$B$2,12,4),MOVIMIENTOS!$C:$C,T$4))</f>
        <v/>
      </c>
      <c r="U8" s="22">
        <f>IF(DAY(DATE(PORTADA!$B$2,12,4))&lt;&gt;4,"",SUMIFS(MOVIMIENTOS!$F:$F,MOVIMIENTOS!$A:$A,DATE(PORTADA!$B$2,12,4),MOVIMIENTOS!$C:$C,U$4))</f>
        <v/>
      </c>
      <c r="V8" s="22">
        <f>IF(DAY(DATE(PORTADA!$B$2,12,4))&lt;&gt;4,"",SUMIFS(MOVIMIENTOS!$F:$F,MOVIMIENTOS!$A:$A,DATE(PORTADA!$B$2,12,4),MOVIMIENTOS!$C:$C,V$4))</f>
        <v/>
      </c>
      <c r="W8" s="22">
        <f>IF(DAY(DATE(PORTADA!$B$2,12,4))&lt;&gt;4,"",SUMIFS(MOVIMIENTOS!$F:$F,MOVIMIENTOS!$A:$A,DATE(PORTADA!$B$2,12,4),MOVIMIENTOS!$C:$C,W$4))</f>
        <v/>
      </c>
      <c r="X8" s="22">
        <f>IF(DAY(DATE(PORTADA!$B$2,12,4))&lt;&gt;4,"",SUMIFS(MOVIMIENTOS!$F:$F,MOVIMIENTOS!$A:$A,DATE(PORTADA!$B$2,12,4),MOVIMIENTOS!$C:$C,X$4))</f>
        <v/>
      </c>
      <c r="Y8" s="22">
        <f>IF(DAY(DATE(PORTADA!$B$2,12,4))&lt;&gt;4,"",SUMIFS(MOVIMIENTOS!$F:$F,MOVIMIENTOS!$A:$A,DATE(PORTADA!$B$2,12,4),MOVIMIENTOS!$C:$C,Y$4))</f>
        <v/>
      </c>
      <c r="Z8" s="22">
        <f>IF(DAY(DATE(PORTADA!$B$2,12,4))&lt;&gt;4,"",SUMIFS(MOVIMIENTOS!$F:$F,MOVIMIENTOS!$A:$A,DATE(PORTADA!$B$2,12,4),MOVIMIENTOS!$C:$C,Z$4))</f>
        <v/>
      </c>
      <c r="AA8" s="22">
        <f>IF(DAY(DATE(PORTADA!$B$2,12,4))&lt;&gt;4,"",SUM(T8:Z8))</f>
        <v/>
      </c>
    </row>
    <row r="9">
      <c r="A9" s="23" t="inlineStr">
        <is>
          <t>NEGOCIO</t>
        </is>
      </c>
      <c r="B9" s="23" t="inlineStr">
        <is>
          <t>VENTA DE ARTICULO</t>
        </is>
      </c>
      <c r="C9" s="8">
        <f>CATEGORIAS!$E$7</f>
        <v/>
      </c>
      <c r="D9" s="8">
        <f>SUMIFS(MOVIMIENTOS!$F:$F,MOVIMIENTOS!$A:$A,"&gt;="&amp;DATE(PORTADA!$B$2,12,1),MOVIMIENTOS!$A:$A,"&lt;="&amp;EOMONTH(DATE(PORTADA!$B$2,12,1),0),MOVIMIENTOS!$D:$D,$B9)</f>
        <v/>
      </c>
      <c r="E9" s="8">
        <f>D9-C9</f>
        <v/>
      </c>
      <c r="F9" s="9">
        <f>IFERROR(D9/C9,"")</f>
        <v/>
      </c>
      <c r="S9" s="21">
        <f>IF(DAY(DATE(PORTADA!$B$2,12,5))&lt;&gt;5,"",5)</f>
        <v/>
      </c>
      <c r="T9" s="22">
        <f>IF(DAY(DATE(PORTADA!$B$2,12,5))&lt;&gt;5,"",SUMIFS(MOVIMIENTOS!$F:$F,MOVIMIENTOS!$A:$A,DATE(PORTADA!$B$2,12,5),MOVIMIENTOS!$C:$C,T$4))</f>
        <v/>
      </c>
      <c r="U9" s="22">
        <f>IF(DAY(DATE(PORTADA!$B$2,12,5))&lt;&gt;5,"",SUMIFS(MOVIMIENTOS!$F:$F,MOVIMIENTOS!$A:$A,DATE(PORTADA!$B$2,12,5),MOVIMIENTOS!$C:$C,U$4))</f>
        <v/>
      </c>
      <c r="V9" s="22">
        <f>IF(DAY(DATE(PORTADA!$B$2,12,5))&lt;&gt;5,"",SUMIFS(MOVIMIENTOS!$F:$F,MOVIMIENTOS!$A:$A,DATE(PORTADA!$B$2,12,5),MOVIMIENTOS!$C:$C,V$4))</f>
        <v/>
      </c>
      <c r="W9" s="22">
        <f>IF(DAY(DATE(PORTADA!$B$2,12,5))&lt;&gt;5,"",SUMIFS(MOVIMIENTOS!$F:$F,MOVIMIENTOS!$A:$A,DATE(PORTADA!$B$2,12,5),MOVIMIENTOS!$C:$C,W$4))</f>
        <v/>
      </c>
      <c r="X9" s="22">
        <f>IF(DAY(DATE(PORTADA!$B$2,12,5))&lt;&gt;5,"",SUMIFS(MOVIMIENTOS!$F:$F,MOVIMIENTOS!$A:$A,DATE(PORTADA!$B$2,12,5),MOVIMIENTOS!$C:$C,X$4))</f>
        <v/>
      </c>
      <c r="Y9" s="22">
        <f>IF(DAY(DATE(PORTADA!$B$2,12,5))&lt;&gt;5,"",SUMIFS(MOVIMIENTOS!$F:$F,MOVIMIENTOS!$A:$A,DATE(PORTADA!$B$2,12,5),MOVIMIENTOS!$C:$C,Y$4))</f>
        <v/>
      </c>
      <c r="Z9" s="22">
        <f>IF(DAY(DATE(PORTADA!$B$2,12,5))&lt;&gt;5,"",SUMIFS(MOVIMIENTOS!$F:$F,MOVIMIENTOS!$A:$A,DATE(PORTADA!$B$2,12,5),MOVIMIENTOS!$C:$C,Z$4))</f>
        <v/>
      </c>
      <c r="AA9" s="22">
        <f>IF(DAY(DATE(PORTADA!$B$2,12,5))&lt;&gt;5,"",SUM(T9:Z9))</f>
        <v/>
      </c>
    </row>
    <row r="10">
      <c r="A10" s="23" t="inlineStr">
        <is>
          <t>NEGOCIO</t>
        </is>
      </c>
      <c r="B10" s="23" t="inlineStr">
        <is>
          <t>VENTA DE SERVICIO</t>
        </is>
      </c>
      <c r="C10" s="8">
        <f>CATEGORIAS!$E$8</f>
        <v/>
      </c>
      <c r="D10" s="8">
        <f>SUMIFS(MOVIMIENTOS!$F:$F,MOVIMIENTOS!$A:$A,"&gt;="&amp;DATE(PORTADA!$B$2,12,1),MOVIMIENTOS!$A:$A,"&lt;="&amp;EOMONTH(DATE(PORTADA!$B$2,12,1),0),MOVIMIENTOS!$D:$D,$B10)</f>
        <v/>
      </c>
      <c r="E10" s="8">
        <f>D10-C10</f>
        <v/>
      </c>
      <c r="F10" s="9">
        <f>IFERROR(D10/C10,"")</f>
        <v/>
      </c>
      <c r="S10" s="21">
        <f>IF(DAY(DATE(PORTADA!$B$2,12,6))&lt;&gt;6,"",6)</f>
        <v/>
      </c>
      <c r="T10" s="22">
        <f>IF(DAY(DATE(PORTADA!$B$2,12,6))&lt;&gt;6,"",SUMIFS(MOVIMIENTOS!$F:$F,MOVIMIENTOS!$A:$A,DATE(PORTADA!$B$2,12,6),MOVIMIENTOS!$C:$C,T$4))</f>
        <v/>
      </c>
      <c r="U10" s="22">
        <f>IF(DAY(DATE(PORTADA!$B$2,12,6))&lt;&gt;6,"",SUMIFS(MOVIMIENTOS!$F:$F,MOVIMIENTOS!$A:$A,DATE(PORTADA!$B$2,12,6),MOVIMIENTOS!$C:$C,U$4))</f>
        <v/>
      </c>
      <c r="V10" s="22">
        <f>IF(DAY(DATE(PORTADA!$B$2,12,6))&lt;&gt;6,"",SUMIFS(MOVIMIENTOS!$F:$F,MOVIMIENTOS!$A:$A,DATE(PORTADA!$B$2,12,6),MOVIMIENTOS!$C:$C,V$4))</f>
        <v/>
      </c>
      <c r="W10" s="22">
        <f>IF(DAY(DATE(PORTADA!$B$2,12,6))&lt;&gt;6,"",SUMIFS(MOVIMIENTOS!$F:$F,MOVIMIENTOS!$A:$A,DATE(PORTADA!$B$2,12,6),MOVIMIENTOS!$C:$C,W$4))</f>
        <v/>
      </c>
      <c r="X10" s="22">
        <f>IF(DAY(DATE(PORTADA!$B$2,12,6))&lt;&gt;6,"",SUMIFS(MOVIMIENTOS!$F:$F,MOVIMIENTOS!$A:$A,DATE(PORTADA!$B$2,12,6),MOVIMIENTOS!$C:$C,X$4))</f>
        <v/>
      </c>
      <c r="Y10" s="22">
        <f>IF(DAY(DATE(PORTADA!$B$2,12,6))&lt;&gt;6,"",SUMIFS(MOVIMIENTOS!$F:$F,MOVIMIENTOS!$A:$A,DATE(PORTADA!$B$2,12,6),MOVIMIENTOS!$C:$C,Y$4))</f>
        <v/>
      </c>
      <c r="Z10" s="22">
        <f>IF(DAY(DATE(PORTADA!$B$2,12,6))&lt;&gt;6,"",SUMIFS(MOVIMIENTOS!$F:$F,MOVIMIENTOS!$A:$A,DATE(PORTADA!$B$2,12,6),MOVIMIENTOS!$C:$C,Z$4))</f>
        <v/>
      </c>
      <c r="AA10" s="22">
        <f>IF(DAY(DATE(PORTADA!$B$2,12,6))&lt;&gt;6,"",SUM(T10:Z10))</f>
        <v/>
      </c>
    </row>
    <row r="11">
      <c r="A11" s="23" t="inlineStr">
        <is>
          <t>OTROS</t>
        </is>
      </c>
      <c r="B11" s="23" t="inlineStr">
        <is>
          <t>COBROS PENDIENTES</t>
        </is>
      </c>
      <c r="C11" s="8">
        <f>CATEGORIAS!$E$9</f>
        <v/>
      </c>
      <c r="D11" s="8">
        <f>SUMIFS(MOVIMIENTOS!$F:$F,MOVIMIENTOS!$A:$A,"&gt;="&amp;DATE(PORTADA!$B$2,12,1),MOVIMIENTOS!$A:$A,"&lt;="&amp;EOMONTH(DATE(PORTADA!$B$2,12,1),0),MOVIMIENTOS!$D:$D,$B11)</f>
        <v/>
      </c>
      <c r="E11" s="8">
        <f>D11-C11</f>
        <v/>
      </c>
      <c r="F11" s="9">
        <f>IFERROR(D11/C11,"")</f>
        <v/>
      </c>
      <c r="S11" s="21">
        <f>IF(DAY(DATE(PORTADA!$B$2,12,7))&lt;&gt;7,"",7)</f>
        <v/>
      </c>
      <c r="T11" s="22">
        <f>IF(DAY(DATE(PORTADA!$B$2,12,7))&lt;&gt;7,"",SUMIFS(MOVIMIENTOS!$F:$F,MOVIMIENTOS!$A:$A,DATE(PORTADA!$B$2,12,7),MOVIMIENTOS!$C:$C,T$4))</f>
        <v/>
      </c>
      <c r="U11" s="22">
        <f>IF(DAY(DATE(PORTADA!$B$2,12,7))&lt;&gt;7,"",SUMIFS(MOVIMIENTOS!$F:$F,MOVIMIENTOS!$A:$A,DATE(PORTADA!$B$2,12,7),MOVIMIENTOS!$C:$C,U$4))</f>
        <v/>
      </c>
      <c r="V11" s="22">
        <f>IF(DAY(DATE(PORTADA!$B$2,12,7))&lt;&gt;7,"",SUMIFS(MOVIMIENTOS!$F:$F,MOVIMIENTOS!$A:$A,DATE(PORTADA!$B$2,12,7),MOVIMIENTOS!$C:$C,V$4))</f>
        <v/>
      </c>
      <c r="W11" s="22">
        <f>IF(DAY(DATE(PORTADA!$B$2,12,7))&lt;&gt;7,"",SUMIFS(MOVIMIENTOS!$F:$F,MOVIMIENTOS!$A:$A,DATE(PORTADA!$B$2,12,7),MOVIMIENTOS!$C:$C,W$4))</f>
        <v/>
      </c>
      <c r="X11" s="22">
        <f>IF(DAY(DATE(PORTADA!$B$2,12,7))&lt;&gt;7,"",SUMIFS(MOVIMIENTOS!$F:$F,MOVIMIENTOS!$A:$A,DATE(PORTADA!$B$2,12,7),MOVIMIENTOS!$C:$C,X$4))</f>
        <v/>
      </c>
      <c r="Y11" s="22">
        <f>IF(DAY(DATE(PORTADA!$B$2,12,7))&lt;&gt;7,"",SUMIFS(MOVIMIENTOS!$F:$F,MOVIMIENTOS!$A:$A,DATE(PORTADA!$B$2,12,7),MOVIMIENTOS!$C:$C,Y$4))</f>
        <v/>
      </c>
      <c r="Z11" s="22">
        <f>IF(DAY(DATE(PORTADA!$B$2,12,7))&lt;&gt;7,"",SUMIFS(MOVIMIENTOS!$F:$F,MOVIMIENTOS!$A:$A,DATE(PORTADA!$B$2,12,7),MOVIMIENTOS!$C:$C,Z$4))</f>
        <v/>
      </c>
      <c r="AA11" s="22">
        <f>IF(DAY(DATE(PORTADA!$B$2,12,7))&lt;&gt;7,"",SUM(T11:Z11))</f>
        <v/>
      </c>
    </row>
    <row r="12">
      <c r="A12" s="23" t="inlineStr">
        <is>
          <t>OTROS</t>
        </is>
      </c>
      <c r="B12" s="23" t="inlineStr">
        <is>
          <t>OTROS INGRESOS</t>
        </is>
      </c>
      <c r="C12" s="8">
        <f>CATEGORIAS!$E$10</f>
        <v/>
      </c>
      <c r="D12" s="8">
        <f>SUMIFS(MOVIMIENTOS!$F:$F,MOVIMIENTOS!$A:$A,"&gt;="&amp;DATE(PORTADA!$B$2,12,1),MOVIMIENTOS!$A:$A,"&lt;="&amp;EOMONTH(DATE(PORTADA!$B$2,12,1),0),MOVIMIENTOS!$D:$D,$B12)</f>
        <v/>
      </c>
      <c r="E12" s="8">
        <f>D12-C12</f>
        <v/>
      </c>
      <c r="F12" s="9">
        <f>IFERROR(D12/C12,"")</f>
        <v/>
      </c>
      <c r="S12" s="21">
        <f>IF(DAY(DATE(PORTADA!$B$2,12,8))&lt;&gt;8,"",8)</f>
        <v/>
      </c>
      <c r="T12" s="22">
        <f>IF(DAY(DATE(PORTADA!$B$2,12,8))&lt;&gt;8,"",SUMIFS(MOVIMIENTOS!$F:$F,MOVIMIENTOS!$A:$A,DATE(PORTADA!$B$2,12,8),MOVIMIENTOS!$C:$C,T$4))</f>
        <v/>
      </c>
      <c r="U12" s="22">
        <f>IF(DAY(DATE(PORTADA!$B$2,12,8))&lt;&gt;8,"",SUMIFS(MOVIMIENTOS!$F:$F,MOVIMIENTOS!$A:$A,DATE(PORTADA!$B$2,12,8),MOVIMIENTOS!$C:$C,U$4))</f>
        <v/>
      </c>
      <c r="V12" s="22">
        <f>IF(DAY(DATE(PORTADA!$B$2,12,8))&lt;&gt;8,"",SUMIFS(MOVIMIENTOS!$F:$F,MOVIMIENTOS!$A:$A,DATE(PORTADA!$B$2,12,8),MOVIMIENTOS!$C:$C,V$4))</f>
        <v/>
      </c>
      <c r="W12" s="22">
        <f>IF(DAY(DATE(PORTADA!$B$2,12,8))&lt;&gt;8,"",SUMIFS(MOVIMIENTOS!$F:$F,MOVIMIENTOS!$A:$A,DATE(PORTADA!$B$2,12,8),MOVIMIENTOS!$C:$C,W$4))</f>
        <v/>
      </c>
      <c r="X12" s="22">
        <f>IF(DAY(DATE(PORTADA!$B$2,12,8))&lt;&gt;8,"",SUMIFS(MOVIMIENTOS!$F:$F,MOVIMIENTOS!$A:$A,DATE(PORTADA!$B$2,12,8),MOVIMIENTOS!$C:$C,X$4))</f>
        <v/>
      </c>
      <c r="Y12" s="22">
        <f>IF(DAY(DATE(PORTADA!$B$2,12,8))&lt;&gt;8,"",SUMIFS(MOVIMIENTOS!$F:$F,MOVIMIENTOS!$A:$A,DATE(PORTADA!$B$2,12,8),MOVIMIENTOS!$C:$C,Y$4))</f>
        <v/>
      </c>
      <c r="Z12" s="22">
        <f>IF(DAY(DATE(PORTADA!$B$2,12,8))&lt;&gt;8,"",SUMIFS(MOVIMIENTOS!$F:$F,MOVIMIENTOS!$A:$A,DATE(PORTADA!$B$2,12,8),MOVIMIENTOS!$C:$C,Z$4))</f>
        <v/>
      </c>
      <c r="AA12" s="22">
        <f>IF(DAY(DATE(PORTADA!$B$2,12,8))&lt;&gt;8,"",SUM(T12:Z12))</f>
        <v/>
      </c>
    </row>
    <row r="13">
      <c r="A13" s="10" t="n"/>
      <c r="B13" s="10" t="inlineStr">
        <is>
          <t>TOTAL INGRESOS</t>
        </is>
      </c>
      <c r="C13" s="11">
        <f>SUM(C6:C12)</f>
        <v/>
      </c>
      <c r="D13" s="11">
        <f>SUM(D6:D12)</f>
        <v/>
      </c>
      <c r="E13" s="11">
        <f>SUM(E6:E12)</f>
        <v/>
      </c>
      <c r="F13" s="10" t="n"/>
      <c r="S13" s="21">
        <f>IF(DAY(DATE(PORTADA!$B$2,12,9))&lt;&gt;9,"",9)</f>
        <v/>
      </c>
      <c r="T13" s="22">
        <f>IF(DAY(DATE(PORTADA!$B$2,12,9))&lt;&gt;9,"",SUMIFS(MOVIMIENTOS!$F:$F,MOVIMIENTOS!$A:$A,DATE(PORTADA!$B$2,12,9),MOVIMIENTOS!$C:$C,T$4))</f>
        <v/>
      </c>
      <c r="U13" s="22">
        <f>IF(DAY(DATE(PORTADA!$B$2,12,9))&lt;&gt;9,"",SUMIFS(MOVIMIENTOS!$F:$F,MOVIMIENTOS!$A:$A,DATE(PORTADA!$B$2,12,9),MOVIMIENTOS!$C:$C,U$4))</f>
        <v/>
      </c>
      <c r="V13" s="22">
        <f>IF(DAY(DATE(PORTADA!$B$2,12,9))&lt;&gt;9,"",SUMIFS(MOVIMIENTOS!$F:$F,MOVIMIENTOS!$A:$A,DATE(PORTADA!$B$2,12,9),MOVIMIENTOS!$C:$C,V$4))</f>
        <v/>
      </c>
      <c r="W13" s="22">
        <f>IF(DAY(DATE(PORTADA!$B$2,12,9))&lt;&gt;9,"",SUMIFS(MOVIMIENTOS!$F:$F,MOVIMIENTOS!$A:$A,DATE(PORTADA!$B$2,12,9),MOVIMIENTOS!$C:$C,W$4))</f>
        <v/>
      </c>
      <c r="X13" s="22">
        <f>IF(DAY(DATE(PORTADA!$B$2,12,9))&lt;&gt;9,"",SUMIFS(MOVIMIENTOS!$F:$F,MOVIMIENTOS!$A:$A,DATE(PORTADA!$B$2,12,9),MOVIMIENTOS!$C:$C,X$4))</f>
        <v/>
      </c>
      <c r="Y13" s="22">
        <f>IF(DAY(DATE(PORTADA!$B$2,12,9))&lt;&gt;9,"",SUMIFS(MOVIMIENTOS!$F:$F,MOVIMIENTOS!$A:$A,DATE(PORTADA!$B$2,12,9),MOVIMIENTOS!$C:$C,Y$4))</f>
        <v/>
      </c>
      <c r="Z13" s="22">
        <f>IF(DAY(DATE(PORTADA!$B$2,12,9))&lt;&gt;9,"",SUMIFS(MOVIMIENTOS!$F:$F,MOVIMIENTOS!$A:$A,DATE(PORTADA!$B$2,12,9),MOVIMIENTOS!$C:$C,Z$4))</f>
        <v/>
      </c>
      <c r="AA13" s="22">
        <f>IF(DAY(DATE(PORTADA!$B$2,12,9))&lt;&gt;9,"",SUM(T13:Z13))</f>
        <v/>
      </c>
    </row>
    <row r="14">
      <c r="S14" s="21">
        <f>IF(DAY(DATE(PORTADA!$B$2,12,10))&lt;&gt;10,"",10)</f>
        <v/>
      </c>
      <c r="T14" s="22">
        <f>IF(DAY(DATE(PORTADA!$B$2,12,10))&lt;&gt;10,"",SUMIFS(MOVIMIENTOS!$F:$F,MOVIMIENTOS!$A:$A,DATE(PORTADA!$B$2,12,10),MOVIMIENTOS!$C:$C,T$4))</f>
        <v/>
      </c>
      <c r="U14" s="22">
        <f>IF(DAY(DATE(PORTADA!$B$2,12,10))&lt;&gt;10,"",SUMIFS(MOVIMIENTOS!$F:$F,MOVIMIENTOS!$A:$A,DATE(PORTADA!$B$2,12,10),MOVIMIENTOS!$C:$C,U$4))</f>
        <v/>
      </c>
      <c r="V14" s="22">
        <f>IF(DAY(DATE(PORTADA!$B$2,12,10))&lt;&gt;10,"",SUMIFS(MOVIMIENTOS!$F:$F,MOVIMIENTOS!$A:$A,DATE(PORTADA!$B$2,12,10),MOVIMIENTOS!$C:$C,V$4))</f>
        <v/>
      </c>
      <c r="W14" s="22">
        <f>IF(DAY(DATE(PORTADA!$B$2,12,10))&lt;&gt;10,"",SUMIFS(MOVIMIENTOS!$F:$F,MOVIMIENTOS!$A:$A,DATE(PORTADA!$B$2,12,10),MOVIMIENTOS!$C:$C,W$4))</f>
        <v/>
      </c>
      <c r="X14" s="22">
        <f>IF(DAY(DATE(PORTADA!$B$2,12,10))&lt;&gt;10,"",SUMIFS(MOVIMIENTOS!$F:$F,MOVIMIENTOS!$A:$A,DATE(PORTADA!$B$2,12,10),MOVIMIENTOS!$C:$C,X$4))</f>
        <v/>
      </c>
      <c r="Y14" s="22">
        <f>IF(DAY(DATE(PORTADA!$B$2,12,10))&lt;&gt;10,"",SUMIFS(MOVIMIENTOS!$F:$F,MOVIMIENTOS!$A:$A,DATE(PORTADA!$B$2,12,10),MOVIMIENTOS!$C:$C,Y$4))</f>
        <v/>
      </c>
      <c r="Z14" s="22">
        <f>IF(DAY(DATE(PORTADA!$B$2,12,10))&lt;&gt;10,"",SUMIFS(MOVIMIENTOS!$F:$F,MOVIMIENTOS!$A:$A,DATE(PORTADA!$B$2,12,10),MOVIMIENTOS!$C:$C,Z$4))</f>
        <v/>
      </c>
      <c r="AA14" s="22">
        <f>IF(DAY(DATE(PORTADA!$B$2,12,10))&lt;&gt;10,"",SUM(T14:Z14))</f>
        <v/>
      </c>
    </row>
    <row r="15">
      <c r="A15" s="2" t="inlineStr">
        <is>
          <t>EGRESOS</t>
        </is>
      </c>
      <c r="S15" s="21">
        <f>IF(DAY(DATE(PORTADA!$B$2,12,11))&lt;&gt;11,"",11)</f>
        <v/>
      </c>
      <c r="T15" s="22">
        <f>IF(DAY(DATE(PORTADA!$B$2,12,11))&lt;&gt;11,"",SUMIFS(MOVIMIENTOS!$F:$F,MOVIMIENTOS!$A:$A,DATE(PORTADA!$B$2,12,11),MOVIMIENTOS!$C:$C,T$4))</f>
        <v/>
      </c>
      <c r="U15" s="22">
        <f>IF(DAY(DATE(PORTADA!$B$2,12,11))&lt;&gt;11,"",SUMIFS(MOVIMIENTOS!$F:$F,MOVIMIENTOS!$A:$A,DATE(PORTADA!$B$2,12,11),MOVIMIENTOS!$C:$C,U$4))</f>
        <v/>
      </c>
      <c r="V15" s="22">
        <f>IF(DAY(DATE(PORTADA!$B$2,12,11))&lt;&gt;11,"",SUMIFS(MOVIMIENTOS!$F:$F,MOVIMIENTOS!$A:$A,DATE(PORTADA!$B$2,12,11),MOVIMIENTOS!$C:$C,V$4))</f>
        <v/>
      </c>
      <c r="W15" s="22">
        <f>IF(DAY(DATE(PORTADA!$B$2,12,11))&lt;&gt;11,"",SUMIFS(MOVIMIENTOS!$F:$F,MOVIMIENTOS!$A:$A,DATE(PORTADA!$B$2,12,11),MOVIMIENTOS!$C:$C,W$4))</f>
        <v/>
      </c>
      <c r="X15" s="22">
        <f>IF(DAY(DATE(PORTADA!$B$2,12,11))&lt;&gt;11,"",SUMIFS(MOVIMIENTOS!$F:$F,MOVIMIENTOS!$A:$A,DATE(PORTADA!$B$2,12,11),MOVIMIENTOS!$C:$C,X$4))</f>
        <v/>
      </c>
      <c r="Y15" s="22">
        <f>IF(DAY(DATE(PORTADA!$B$2,12,11))&lt;&gt;11,"",SUMIFS(MOVIMIENTOS!$F:$F,MOVIMIENTOS!$A:$A,DATE(PORTADA!$B$2,12,11),MOVIMIENTOS!$C:$C,Y$4))</f>
        <v/>
      </c>
      <c r="Z15" s="22">
        <f>IF(DAY(DATE(PORTADA!$B$2,12,11))&lt;&gt;11,"",SUMIFS(MOVIMIENTOS!$F:$F,MOVIMIENTOS!$A:$A,DATE(PORTADA!$B$2,12,11),MOVIMIENTOS!$C:$C,Z$4))</f>
        <v/>
      </c>
      <c r="AA15" s="22">
        <f>IF(DAY(DATE(PORTADA!$B$2,12,11))&lt;&gt;11,"",SUM(T15:Z15))</f>
        <v/>
      </c>
    </row>
    <row r="16">
      <c r="A16" s="7" t="inlineStr">
        <is>
          <t>GRUPO</t>
        </is>
      </c>
      <c r="B16" s="7" t="inlineStr">
        <is>
          <t>CATEGORÍA</t>
        </is>
      </c>
      <c r="C16" s="7" t="inlineStr">
        <is>
          <t>PRESUPUESTO</t>
        </is>
      </c>
      <c r="D16" s="7" t="inlineStr">
        <is>
          <t>REAL</t>
        </is>
      </c>
      <c r="E16" s="7" t="inlineStr">
        <is>
          <t>DIFERENCIA</t>
        </is>
      </c>
      <c r="F16" s="7" t="inlineStr">
        <is>
          <t>% USADO</t>
        </is>
      </c>
      <c r="S16" s="21">
        <f>IF(DAY(DATE(PORTADA!$B$2,12,12))&lt;&gt;12,"",12)</f>
        <v/>
      </c>
      <c r="T16" s="22">
        <f>IF(DAY(DATE(PORTADA!$B$2,12,12))&lt;&gt;12,"",SUMIFS(MOVIMIENTOS!$F:$F,MOVIMIENTOS!$A:$A,DATE(PORTADA!$B$2,12,12),MOVIMIENTOS!$C:$C,T$4))</f>
        <v/>
      </c>
      <c r="U16" s="22">
        <f>IF(DAY(DATE(PORTADA!$B$2,12,12))&lt;&gt;12,"",SUMIFS(MOVIMIENTOS!$F:$F,MOVIMIENTOS!$A:$A,DATE(PORTADA!$B$2,12,12),MOVIMIENTOS!$C:$C,U$4))</f>
        <v/>
      </c>
      <c r="V16" s="22">
        <f>IF(DAY(DATE(PORTADA!$B$2,12,12))&lt;&gt;12,"",SUMIFS(MOVIMIENTOS!$F:$F,MOVIMIENTOS!$A:$A,DATE(PORTADA!$B$2,12,12),MOVIMIENTOS!$C:$C,V$4))</f>
        <v/>
      </c>
      <c r="W16" s="22">
        <f>IF(DAY(DATE(PORTADA!$B$2,12,12))&lt;&gt;12,"",SUMIFS(MOVIMIENTOS!$F:$F,MOVIMIENTOS!$A:$A,DATE(PORTADA!$B$2,12,12),MOVIMIENTOS!$C:$C,W$4))</f>
        <v/>
      </c>
      <c r="X16" s="22">
        <f>IF(DAY(DATE(PORTADA!$B$2,12,12))&lt;&gt;12,"",SUMIFS(MOVIMIENTOS!$F:$F,MOVIMIENTOS!$A:$A,DATE(PORTADA!$B$2,12,12),MOVIMIENTOS!$C:$C,X$4))</f>
        <v/>
      </c>
      <c r="Y16" s="22">
        <f>IF(DAY(DATE(PORTADA!$B$2,12,12))&lt;&gt;12,"",SUMIFS(MOVIMIENTOS!$F:$F,MOVIMIENTOS!$A:$A,DATE(PORTADA!$B$2,12,12),MOVIMIENTOS!$C:$C,Y$4))</f>
        <v/>
      </c>
      <c r="Z16" s="22">
        <f>IF(DAY(DATE(PORTADA!$B$2,12,12))&lt;&gt;12,"",SUMIFS(MOVIMIENTOS!$F:$F,MOVIMIENTOS!$A:$A,DATE(PORTADA!$B$2,12,12),MOVIMIENTOS!$C:$C,Z$4))</f>
        <v/>
      </c>
      <c r="AA16" s="22">
        <f>IF(DAY(DATE(PORTADA!$B$2,12,12))&lt;&gt;12,"",SUM(T16:Z16))</f>
        <v/>
      </c>
    </row>
    <row r="17">
      <c r="A17" s="23" t="inlineStr">
        <is>
          <t>CUENTAS PERSONALES</t>
        </is>
      </c>
      <c r="B17" s="23" t="inlineStr">
        <is>
          <t>PREST. AUTO</t>
        </is>
      </c>
      <c r="C17" s="8">
        <f>CATEGORIAS!$E$11</f>
        <v/>
      </c>
      <c r="D17" s="8">
        <f>SUMIFS(MOVIMIENTOS!$F:$F,MOVIMIENTOS!$A:$A,"&gt;="&amp;DATE(PORTADA!$B$2,12,1),MOVIMIENTOS!$A:$A,"&lt;="&amp;EOMONTH(DATE(PORTADA!$B$2,12,1),0),MOVIMIENTOS!$D:$D,$B17)</f>
        <v/>
      </c>
      <c r="E17" s="8">
        <f>C17-D17</f>
        <v/>
      </c>
      <c r="F17" s="9">
        <f>IFERROR(D17/C17,"")</f>
        <v/>
      </c>
      <c r="S17" s="21">
        <f>IF(DAY(DATE(PORTADA!$B$2,12,13))&lt;&gt;13,"",13)</f>
        <v/>
      </c>
      <c r="T17" s="22">
        <f>IF(DAY(DATE(PORTADA!$B$2,12,13))&lt;&gt;13,"",SUMIFS(MOVIMIENTOS!$F:$F,MOVIMIENTOS!$A:$A,DATE(PORTADA!$B$2,12,13),MOVIMIENTOS!$C:$C,T$4))</f>
        <v/>
      </c>
      <c r="U17" s="22">
        <f>IF(DAY(DATE(PORTADA!$B$2,12,13))&lt;&gt;13,"",SUMIFS(MOVIMIENTOS!$F:$F,MOVIMIENTOS!$A:$A,DATE(PORTADA!$B$2,12,13),MOVIMIENTOS!$C:$C,U$4))</f>
        <v/>
      </c>
      <c r="V17" s="22">
        <f>IF(DAY(DATE(PORTADA!$B$2,12,13))&lt;&gt;13,"",SUMIFS(MOVIMIENTOS!$F:$F,MOVIMIENTOS!$A:$A,DATE(PORTADA!$B$2,12,13),MOVIMIENTOS!$C:$C,V$4))</f>
        <v/>
      </c>
      <c r="W17" s="22">
        <f>IF(DAY(DATE(PORTADA!$B$2,12,13))&lt;&gt;13,"",SUMIFS(MOVIMIENTOS!$F:$F,MOVIMIENTOS!$A:$A,DATE(PORTADA!$B$2,12,13),MOVIMIENTOS!$C:$C,W$4))</f>
        <v/>
      </c>
      <c r="X17" s="22">
        <f>IF(DAY(DATE(PORTADA!$B$2,12,13))&lt;&gt;13,"",SUMIFS(MOVIMIENTOS!$F:$F,MOVIMIENTOS!$A:$A,DATE(PORTADA!$B$2,12,13),MOVIMIENTOS!$C:$C,X$4))</f>
        <v/>
      </c>
      <c r="Y17" s="22">
        <f>IF(DAY(DATE(PORTADA!$B$2,12,13))&lt;&gt;13,"",SUMIFS(MOVIMIENTOS!$F:$F,MOVIMIENTOS!$A:$A,DATE(PORTADA!$B$2,12,13),MOVIMIENTOS!$C:$C,Y$4))</f>
        <v/>
      </c>
      <c r="Z17" s="22">
        <f>IF(DAY(DATE(PORTADA!$B$2,12,13))&lt;&gt;13,"",SUMIFS(MOVIMIENTOS!$F:$F,MOVIMIENTOS!$A:$A,DATE(PORTADA!$B$2,12,13),MOVIMIENTOS!$C:$C,Z$4))</f>
        <v/>
      </c>
      <c r="AA17" s="22">
        <f>IF(DAY(DATE(PORTADA!$B$2,12,13))&lt;&gt;13,"",SUM(T17:Z17))</f>
        <v/>
      </c>
    </row>
    <row r="18">
      <c r="A18" s="23" t="inlineStr">
        <is>
          <t>CUENTAS PERSONALES</t>
        </is>
      </c>
      <c r="B18" s="23" t="inlineStr">
        <is>
          <t>AHORRO CASA</t>
        </is>
      </c>
      <c r="C18" s="8">
        <f>CATEGORIAS!$E$12</f>
        <v/>
      </c>
      <c r="D18" s="8">
        <f>SUMIFS(MOVIMIENTOS!$F:$F,MOVIMIENTOS!$A:$A,"&gt;="&amp;DATE(PORTADA!$B$2,12,1),MOVIMIENTOS!$A:$A,"&lt;="&amp;EOMONTH(DATE(PORTADA!$B$2,12,1),0),MOVIMIENTOS!$D:$D,$B18)</f>
        <v/>
      </c>
      <c r="E18" s="8">
        <f>C18-D18</f>
        <v/>
      </c>
      <c r="F18" s="9">
        <f>IFERROR(D18/C18,"")</f>
        <v/>
      </c>
      <c r="S18" s="21">
        <f>IF(DAY(DATE(PORTADA!$B$2,12,14))&lt;&gt;14,"",14)</f>
        <v/>
      </c>
      <c r="T18" s="22">
        <f>IF(DAY(DATE(PORTADA!$B$2,12,14))&lt;&gt;14,"",SUMIFS(MOVIMIENTOS!$F:$F,MOVIMIENTOS!$A:$A,DATE(PORTADA!$B$2,12,14),MOVIMIENTOS!$C:$C,T$4))</f>
        <v/>
      </c>
      <c r="U18" s="22">
        <f>IF(DAY(DATE(PORTADA!$B$2,12,14))&lt;&gt;14,"",SUMIFS(MOVIMIENTOS!$F:$F,MOVIMIENTOS!$A:$A,DATE(PORTADA!$B$2,12,14),MOVIMIENTOS!$C:$C,U$4))</f>
        <v/>
      </c>
      <c r="V18" s="22">
        <f>IF(DAY(DATE(PORTADA!$B$2,12,14))&lt;&gt;14,"",SUMIFS(MOVIMIENTOS!$F:$F,MOVIMIENTOS!$A:$A,DATE(PORTADA!$B$2,12,14),MOVIMIENTOS!$C:$C,V$4))</f>
        <v/>
      </c>
      <c r="W18" s="22">
        <f>IF(DAY(DATE(PORTADA!$B$2,12,14))&lt;&gt;14,"",SUMIFS(MOVIMIENTOS!$F:$F,MOVIMIENTOS!$A:$A,DATE(PORTADA!$B$2,12,14),MOVIMIENTOS!$C:$C,W$4))</f>
        <v/>
      </c>
      <c r="X18" s="22">
        <f>IF(DAY(DATE(PORTADA!$B$2,12,14))&lt;&gt;14,"",SUMIFS(MOVIMIENTOS!$F:$F,MOVIMIENTOS!$A:$A,DATE(PORTADA!$B$2,12,14),MOVIMIENTOS!$C:$C,X$4))</f>
        <v/>
      </c>
      <c r="Y18" s="22">
        <f>IF(DAY(DATE(PORTADA!$B$2,12,14))&lt;&gt;14,"",SUMIFS(MOVIMIENTOS!$F:$F,MOVIMIENTOS!$A:$A,DATE(PORTADA!$B$2,12,14),MOVIMIENTOS!$C:$C,Y$4))</f>
        <v/>
      </c>
      <c r="Z18" s="22">
        <f>IF(DAY(DATE(PORTADA!$B$2,12,14))&lt;&gt;14,"",SUMIFS(MOVIMIENTOS!$F:$F,MOVIMIENTOS!$A:$A,DATE(PORTADA!$B$2,12,14),MOVIMIENTOS!$C:$C,Z$4))</f>
        <v/>
      </c>
      <c r="AA18" s="22">
        <f>IF(DAY(DATE(PORTADA!$B$2,12,14))&lt;&gt;14,"",SUM(T18:Z18))</f>
        <v/>
      </c>
    </row>
    <row r="19">
      <c r="A19" s="23" t="inlineStr">
        <is>
          <t>HIJOS</t>
        </is>
      </c>
      <c r="B19" s="23" t="inlineStr">
        <is>
          <t>PENSIONES</t>
        </is>
      </c>
      <c r="C19" s="8">
        <f>CATEGORIAS!$E$13</f>
        <v/>
      </c>
      <c r="D19" s="8">
        <f>SUMIFS(MOVIMIENTOS!$F:$F,MOVIMIENTOS!$A:$A,"&gt;="&amp;DATE(PORTADA!$B$2,12,1),MOVIMIENTOS!$A:$A,"&lt;="&amp;EOMONTH(DATE(PORTADA!$B$2,12,1),0),MOVIMIENTOS!$D:$D,$B19)</f>
        <v/>
      </c>
      <c r="E19" s="8">
        <f>C19-D19</f>
        <v/>
      </c>
      <c r="F19" s="9">
        <f>IFERROR(D19/C19,"")</f>
        <v/>
      </c>
      <c r="S19" s="21">
        <f>IF(DAY(DATE(PORTADA!$B$2,12,15))&lt;&gt;15,"",15)</f>
        <v/>
      </c>
      <c r="T19" s="22">
        <f>IF(DAY(DATE(PORTADA!$B$2,12,15))&lt;&gt;15,"",SUMIFS(MOVIMIENTOS!$F:$F,MOVIMIENTOS!$A:$A,DATE(PORTADA!$B$2,12,15),MOVIMIENTOS!$C:$C,T$4))</f>
        <v/>
      </c>
      <c r="U19" s="22">
        <f>IF(DAY(DATE(PORTADA!$B$2,12,15))&lt;&gt;15,"",SUMIFS(MOVIMIENTOS!$F:$F,MOVIMIENTOS!$A:$A,DATE(PORTADA!$B$2,12,15),MOVIMIENTOS!$C:$C,U$4))</f>
        <v/>
      </c>
      <c r="V19" s="22">
        <f>IF(DAY(DATE(PORTADA!$B$2,12,15))&lt;&gt;15,"",SUMIFS(MOVIMIENTOS!$F:$F,MOVIMIENTOS!$A:$A,DATE(PORTADA!$B$2,12,15),MOVIMIENTOS!$C:$C,V$4))</f>
        <v/>
      </c>
      <c r="W19" s="22">
        <f>IF(DAY(DATE(PORTADA!$B$2,12,15))&lt;&gt;15,"",SUMIFS(MOVIMIENTOS!$F:$F,MOVIMIENTOS!$A:$A,DATE(PORTADA!$B$2,12,15),MOVIMIENTOS!$C:$C,W$4))</f>
        <v/>
      </c>
      <c r="X19" s="22">
        <f>IF(DAY(DATE(PORTADA!$B$2,12,15))&lt;&gt;15,"",SUMIFS(MOVIMIENTOS!$F:$F,MOVIMIENTOS!$A:$A,DATE(PORTADA!$B$2,12,15),MOVIMIENTOS!$C:$C,X$4))</f>
        <v/>
      </c>
      <c r="Y19" s="22">
        <f>IF(DAY(DATE(PORTADA!$B$2,12,15))&lt;&gt;15,"",SUMIFS(MOVIMIENTOS!$F:$F,MOVIMIENTOS!$A:$A,DATE(PORTADA!$B$2,12,15),MOVIMIENTOS!$C:$C,Y$4))</f>
        <v/>
      </c>
      <c r="Z19" s="22">
        <f>IF(DAY(DATE(PORTADA!$B$2,12,15))&lt;&gt;15,"",SUMIFS(MOVIMIENTOS!$F:$F,MOVIMIENTOS!$A:$A,DATE(PORTADA!$B$2,12,15),MOVIMIENTOS!$C:$C,Z$4))</f>
        <v/>
      </c>
      <c r="AA19" s="22">
        <f>IF(DAY(DATE(PORTADA!$B$2,12,15))&lt;&gt;15,"",SUM(T19:Z19))</f>
        <v/>
      </c>
    </row>
    <row r="20">
      <c r="A20" s="23" t="inlineStr">
        <is>
          <t>HIJOS</t>
        </is>
      </c>
      <c r="B20" s="23" t="inlineStr">
        <is>
          <t>ROPA Y REGALOS</t>
        </is>
      </c>
      <c r="C20" s="8">
        <f>CATEGORIAS!$E$14</f>
        <v/>
      </c>
      <c r="D20" s="8">
        <f>SUMIFS(MOVIMIENTOS!$F:$F,MOVIMIENTOS!$A:$A,"&gt;="&amp;DATE(PORTADA!$B$2,12,1),MOVIMIENTOS!$A:$A,"&lt;="&amp;EOMONTH(DATE(PORTADA!$B$2,12,1),0),MOVIMIENTOS!$D:$D,$B20)</f>
        <v/>
      </c>
      <c r="E20" s="8">
        <f>C20-D20</f>
        <v/>
      </c>
      <c r="F20" s="9">
        <f>IFERROR(D20/C20,"")</f>
        <v/>
      </c>
      <c r="S20" s="21">
        <f>IF(DAY(DATE(PORTADA!$B$2,12,16))&lt;&gt;16,"",16)</f>
        <v/>
      </c>
      <c r="T20" s="22">
        <f>IF(DAY(DATE(PORTADA!$B$2,12,16))&lt;&gt;16,"",SUMIFS(MOVIMIENTOS!$F:$F,MOVIMIENTOS!$A:$A,DATE(PORTADA!$B$2,12,16),MOVIMIENTOS!$C:$C,T$4))</f>
        <v/>
      </c>
      <c r="U20" s="22">
        <f>IF(DAY(DATE(PORTADA!$B$2,12,16))&lt;&gt;16,"",SUMIFS(MOVIMIENTOS!$F:$F,MOVIMIENTOS!$A:$A,DATE(PORTADA!$B$2,12,16),MOVIMIENTOS!$C:$C,U$4))</f>
        <v/>
      </c>
      <c r="V20" s="22">
        <f>IF(DAY(DATE(PORTADA!$B$2,12,16))&lt;&gt;16,"",SUMIFS(MOVIMIENTOS!$F:$F,MOVIMIENTOS!$A:$A,DATE(PORTADA!$B$2,12,16),MOVIMIENTOS!$C:$C,V$4))</f>
        <v/>
      </c>
      <c r="W20" s="22">
        <f>IF(DAY(DATE(PORTADA!$B$2,12,16))&lt;&gt;16,"",SUMIFS(MOVIMIENTOS!$F:$F,MOVIMIENTOS!$A:$A,DATE(PORTADA!$B$2,12,16),MOVIMIENTOS!$C:$C,W$4))</f>
        <v/>
      </c>
      <c r="X20" s="22">
        <f>IF(DAY(DATE(PORTADA!$B$2,12,16))&lt;&gt;16,"",SUMIFS(MOVIMIENTOS!$F:$F,MOVIMIENTOS!$A:$A,DATE(PORTADA!$B$2,12,16),MOVIMIENTOS!$C:$C,X$4))</f>
        <v/>
      </c>
      <c r="Y20" s="22">
        <f>IF(DAY(DATE(PORTADA!$B$2,12,16))&lt;&gt;16,"",SUMIFS(MOVIMIENTOS!$F:$F,MOVIMIENTOS!$A:$A,DATE(PORTADA!$B$2,12,16),MOVIMIENTOS!$C:$C,Y$4))</f>
        <v/>
      </c>
      <c r="Z20" s="22">
        <f>IF(DAY(DATE(PORTADA!$B$2,12,16))&lt;&gt;16,"",SUMIFS(MOVIMIENTOS!$F:$F,MOVIMIENTOS!$A:$A,DATE(PORTADA!$B$2,12,16),MOVIMIENTOS!$C:$C,Z$4))</f>
        <v/>
      </c>
      <c r="AA20" s="22">
        <f>IF(DAY(DATE(PORTADA!$B$2,12,16))&lt;&gt;16,"",SUM(T20:Z20))</f>
        <v/>
      </c>
    </row>
    <row r="21">
      <c r="A21" s="23" t="inlineStr">
        <is>
          <t>HIJOS</t>
        </is>
      </c>
      <c r="B21" s="23" t="inlineStr">
        <is>
          <t>AHORRO EMERGENCIAS</t>
        </is>
      </c>
      <c r="C21" s="8">
        <f>CATEGORIAS!$E$15</f>
        <v/>
      </c>
      <c r="D21" s="8">
        <f>SUMIFS(MOVIMIENTOS!$F:$F,MOVIMIENTOS!$A:$A,"&gt;="&amp;DATE(PORTADA!$B$2,12,1),MOVIMIENTOS!$A:$A,"&lt;="&amp;EOMONTH(DATE(PORTADA!$B$2,12,1),0),MOVIMIENTOS!$D:$D,$B21)</f>
        <v/>
      </c>
      <c r="E21" s="8">
        <f>C21-D21</f>
        <v/>
      </c>
      <c r="F21" s="9">
        <f>IFERROR(D21/C21,"")</f>
        <v/>
      </c>
      <c r="S21" s="21">
        <f>IF(DAY(DATE(PORTADA!$B$2,12,17))&lt;&gt;17,"",17)</f>
        <v/>
      </c>
      <c r="T21" s="22">
        <f>IF(DAY(DATE(PORTADA!$B$2,12,17))&lt;&gt;17,"",SUMIFS(MOVIMIENTOS!$F:$F,MOVIMIENTOS!$A:$A,DATE(PORTADA!$B$2,12,17),MOVIMIENTOS!$C:$C,T$4))</f>
        <v/>
      </c>
      <c r="U21" s="22">
        <f>IF(DAY(DATE(PORTADA!$B$2,12,17))&lt;&gt;17,"",SUMIFS(MOVIMIENTOS!$F:$F,MOVIMIENTOS!$A:$A,DATE(PORTADA!$B$2,12,17),MOVIMIENTOS!$C:$C,U$4))</f>
        <v/>
      </c>
      <c r="V21" s="22">
        <f>IF(DAY(DATE(PORTADA!$B$2,12,17))&lt;&gt;17,"",SUMIFS(MOVIMIENTOS!$F:$F,MOVIMIENTOS!$A:$A,DATE(PORTADA!$B$2,12,17),MOVIMIENTOS!$C:$C,V$4))</f>
        <v/>
      </c>
      <c r="W21" s="22">
        <f>IF(DAY(DATE(PORTADA!$B$2,12,17))&lt;&gt;17,"",SUMIFS(MOVIMIENTOS!$F:$F,MOVIMIENTOS!$A:$A,DATE(PORTADA!$B$2,12,17),MOVIMIENTOS!$C:$C,W$4))</f>
        <v/>
      </c>
      <c r="X21" s="22">
        <f>IF(DAY(DATE(PORTADA!$B$2,12,17))&lt;&gt;17,"",SUMIFS(MOVIMIENTOS!$F:$F,MOVIMIENTOS!$A:$A,DATE(PORTADA!$B$2,12,17),MOVIMIENTOS!$C:$C,X$4))</f>
        <v/>
      </c>
      <c r="Y21" s="22">
        <f>IF(DAY(DATE(PORTADA!$B$2,12,17))&lt;&gt;17,"",SUMIFS(MOVIMIENTOS!$F:$F,MOVIMIENTOS!$A:$A,DATE(PORTADA!$B$2,12,17),MOVIMIENTOS!$C:$C,Y$4))</f>
        <v/>
      </c>
      <c r="Z21" s="22">
        <f>IF(DAY(DATE(PORTADA!$B$2,12,17))&lt;&gt;17,"",SUMIFS(MOVIMIENTOS!$F:$F,MOVIMIENTOS!$A:$A,DATE(PORTADA!$B$2,12,17),MOVIMIENTOS!$C:$C,Z$4))</f>
        <v/>
      </c>
      <c r="AA21" s="22">
        <f>IF(DAY(DATE(PORTADA!$B$2,12,17))&lt;&gt;17,"",SUM(T21:Z21))</f>
        <v/>
      </c>
    </row>
    <row r="22">
      <c r="A22" s="23" t="inlineStr">
        <is>
          <t>HIJOS</t>
        </is>
      </c>
      <c r="B22" s="23" t="inlineStr">
        <is>
          <t>SALIDAS CON FAMILIA</t>
        </is>
      </c>
      <c r="C22" s="8">
        <f>CATEGORIAS!$E$16</f>
        <v/>
      </c>
      <c r="D22" s="8">
        <f>SUMIFS(MOVIMIENTOS!$F:$F,MOVIMIENTOS!$A:$A,"&gt;="&amp;DATE(PORTADA!$B$2,12,1),MOVIMIENTOS!$A:$A,"&lt;="&amp;EOMONTH(DATE(PORTADA!$B$2,12,1),0),MOVIMIENTOS!$D:$D,$B22)</f>
        <v/>
      </c>
      <c r="E22" s="8">
        <f>C22-D22</f>
        <v/>
      </c>
      <c r="F22" s="9">
        <f>IFERROR(D22/C22,"")</f>
        <v/>
      </c>
      <c r="S22" s="21">
        <f>IF(DAY(DATE(PORTADA!$B$2,12,18))&lt;&gt;18,"",18)</f>
        <v/>
      </c>
      <c r="T22" s="22">
        <f>IF(DAY(DATE(PORTADA!$B$2,12,18))&lt;&gt;18,"",SUMIFS(MOVIMIENTOS!$F:$F,MOVIMIENTOS!$A:$A,DATE(PORTADA!$B$2,12,18),MOVIMIENTOS!$C:$C,T$4))</f>
        <v/>
      </c>
      <c r="U22" s="22">
        <f>IF(DAY(DATE(PORTADA!$B$2,12,18))&lt;&gt;18,"",SUMIFS(MOVIMIENTOS!$F:$F,MOVIMIENTOS!$A:$A,DATE(PORTADA!$B$2,12,18),MOVIMIENTOS!$C:$C,U$4))</f>
        <v/>
      </c>
      <c r="V22" s="22">
        <f>IF(DAY(DATE(PORTADA!$B$2,12,18))&lt;&gt;18,"",SUMIFS(MOVIMIENTOS!$F:$F,MOVIMIENTOS!$A:$A,DATE(PORTADA!$B$2,12,18),MOVIMIENTOS!$C:$C,V$4))</f>
        <v/>
      </c>
      <c r="W22" s="22">
        <f>IF(DAY(DATE(PORTADA!$B$2,12,18))&lt;&gt;18,"",SUMIFS(MOVIMIENTOS!$F:$F,MOVIMIENTOS!$A:$A,DATE(PORTADA!$B$2,12,18),MOVIMIENTOS!$C:$C,W$4))</f>
        <v/>
      </c>
      <c r="X22" s="22">
        <f>IF(DAY(DATE(PORTADA!$B$2,12,18))&lt;&gt;18,"",SUMIFS(MOVIMIENTOS!$F:$F,MOVIMIENTOS!$A:$A,DATE(PORTADA!$B$2,12,18),MOVIMIENTOS!$C:$C,X$4))</f>
        <v/>
      </c>
      <c r="Y22" s="22">
        <f>IF(DAY(DATE(PORTADA!$B$2,12,18))&lt;&gt;18,"",SUMIFS(MOVIMIENTOS!$F:$F,MOVIMIENTOS!$A:$A,DATE(PORTADA!$B$2,12,18),MOVIMIENTOS!$C:$C,Y$4))</f>
        <v/>
      </c>
      <c r="Z22" s="22">
        <f>IF(DAY(DATE(PORTADA!$B$2,12,18))&lt;&gt;18,"",SUMIFS(MOVIMIENTOS!$F:$F,MOVIMIENTOS!$A:$A,DATE(PORTADA!$B$2,12,18),MOVIMIENTOS!$C:$C,Z$4))</f>
        <v/>
      </c>
      <c r="AA22" s="22">
        <f>IF(DAY(DATE(PORTADA!$B$2,12,18))&lt;&gt;18,"",SUM(T22:Z22))</f>
        <v/>
      </c>
    </row>
    <row r="23">
      <c r="A23" s="23" t="inlineStr">
        <is>
          <t>CASA</t>
        </is>
      </c>
      <c r="B23" s="23" t="inlineStr">
        <is>
          <t>COMIDA CASA</t>
        </is>
      </c>
      <c r="C23" s="8">
        <f>CATEGORIAS!$E$17</f>
        <v/>
      </c>
      <c r="D23" s="8">
        <f>SUMIFS(MOVIMIENTOS!$F:$F,MOVIMIENTOS!$A:$A,"&gt;="&amp;DATE(PORTADA!$B$2,12,1),MOVIMIENTOS!$A:$A,"&lt;="&amp;EOMONTH(DATE(PORTADA!$B$2,12,1),0),MOVIMIENTOS!$D:$D,$B23)</f>
        <v/>
      </c>
      <c r="E23" s="8">
        <f>C23-D23</f>
        <v/>
      </c>
      <c r="F23" s="9">
        <f>IFERROR(D23/C23,"")</f>
        <v/>
      </c>
      <c r="S23" s="21">
        <f>IF(DAY(DATE(PORTADA!$B$2,12,19))&lt;&gt;19,"",19)</f>
        <v/>
      </c>
      <c r="T23" s="22">
        <f>IF(DAY(DATE(PORTADA!$B$2,12,19))&lt;&gt;19,"",SUMIFS(MOVIMIENTOS!$F:$F,MOVIMIENTOS!$A:$A,DATE(PORTADA!$B$2,12,19),MOVIMIENTOS!$C:$C,T$4))</f>
        <v/>
      </c>
      <c r="U23" s="22">
        <f>IF(DAY(DATE(PORTADA!$B$2,12,19))&lt;&gt;19,"",SUMIFS(MOVIMIENTOS!$F:$F,MOVIMIENTOS!$A:$A,DATE(PORTADA!$B$2,12,19),MOVIMIENTOS!$C:$C,U$4))</f>
        <v/>
      </c>
      <c r="V23" s="22">
        <f>IF(DAY(DATE(PORTADA!$B$2,12,19))&lt;&gt;19,"",SUMIFS(MOVIMIENTOS!$F:$F,MOVIMIENTOS!$A:$A,DATE(PORTADA!$B$2,12,19),MOVIMIENTOS!$C:$C,V$4))</f>
        <v/>
      </c>
      <c r="W23" s="22">
        <f>IF(DAY(DATE(PORTADA!$B$2,12,19))&lt;&gt;19,"",SUMIFS(MOVIMIENTOS!$F:$F,MOVIMIENTOS!$A:$A,DATE(PORTADA!$B$2,12,19),MOVIMIENTOS!$C:$C,W$4))</f>
        <v/>
      </c>
      <c r="X23" s="22">
        <f>IF(DAY(DATE(PORTADA!$B$2,12,19))&lt;&gt;19,"",SUMIFS(MOVIMIENTOS!$F:$F,MOVIMIENTOS!$A:$A,DATE(PORTADA!$B$2,12,19),MOVIMIENTOS!$C:$C,X$4))</f>
        <v/>
      </c>
      <c r="Y23" s="22">
        <f>IF(DAY(DATE(PORTADA!$B$2,12,19))&lt;&gt;19,"",SUMIFS(MOVIMIENTOS!$F:$F,MOVIMIENTOS!$A:$A,DATE(PORTADA!$B$2,12,19),MOVIMIENTOS!$C:$C,Y$4))</f>
        <v/>
      </c>
      <c r="Z23" s="22">
        <f>IF(DAY(DATE(PORTADA!$B$2,12,19))&lt;&gt;19,"",SUMIFS(MOVIMIENTOS!$F:$F,MOVIMIENTOS!$A:$A,DATE(PORTADA!$B$2,12,19),MOVIMIENTOS!$C:$C,Z$4))</f>
        <v/>
      </c>
      <c r="AA23" s="22">
        <f>IF(DAY(DATE(PORTADA!$B$2,12,19))&lt;&gt;19,"",SUM(T23:Z23))</f>
        <v/>
      </c>
    </row>
    <row r="24">
      <c r="A24" s="23" t="inlineStr">
        <is>
          <t>CASA</t>
        </is>
      </c>
      <c r="B24" s="23" t="inlineStr">
        <is>
          <t>COMIDA PERSONAL</t>
        </is>
      </c>
      <c r="C24" s="8">
        <f>CATEGORIAS!$E$18</f>
        <v/>
      </c>
      <c r="D24" s="8">
        <f>SUMIFS(MOVIMIENTOS!$F:$F,MOVIMIENTOS!$A:$A,"&gt;="&amp;DATE(PORTADA!$B$2,12,1),MOVIMIENTOS!$A:$A,"&lt;="&amp;EOMONTH(DATE(PORTADA!$B$2,12,1),0),MOVIMIENTOS!$D:$D,$B24)</f>
        <v/>
      </c>
      <c r="E24" s="8">
        <f>C24-D24</f>
        <v/>
      </c>
      <c r="F24" s="9">
        <f>IFERROR(D24/C24,"")</f>
        <v/>
      </c>
      <c r="S24" s="21">
        <f>IF(DAY(DATE(PORTADA!$B$2,12,20))&lt;&gt;20,"",20)</f>
        <v/>
      </c>
      <c r="T24" s="22">
        <f>IF(DAY(DATE(PORTADA!$B$2,12,20))&lt;&gt;20,"",SUMIFS(MOVIMIENTOS!$F:$F,MOVIMIENTOS!$A:$A,DATE(PORTADA!$B$2,12,20),MOVIMIENTOS!$C:$C,T$4))</f>
        <v/>
      </c>
      <c r="U24" s="22">
        <f>IF(DAY(DATE(PORTADA!$B$2,12,20))&lt;&gt;20,"",SUMIFS(MOVIMIENTOS!$F:$F,MOVIMIENTOS!$A:$A,DATE(PORTADA!$B$2,12,20),MOVIMIENTOS!$C:$C,U$4))</f>
        <v/>
      </c>
      <c r="V24" s="22">
        <f>IF(DAY(DATE(PORTADA!$B$2,12,20))&lt;&gt;20,"",SUMIFS(MOVIMIENTOS!$F:$F,MOVIMIENTOS!$A:$A,DATE(PORTADA!$B$2,12,20),MOVIMIENTOS!$C:$C,V$4))</f>
        <v/>
      </c>
      <c r="W24" s="22">
        <f>IF(DAY(DATE(PORTADA!$B$2,12,20))&lt;&gt;20,"",SUMIFS(MOVIMIENTOS!$F:$F,MOVIMIENTOS!$A:$A,DATE(PORTADA!$B$2,12,20),MOVIMIENTOS!$C:$C,W$4))</f>
        <v/>
      </c>
      <c r="X24" s="22">
        <f>IF(DAY(DATE(PORTADA!$B$2,12,20))&lt;&gt;20,"",SUMIFS(MOVIMIENTOS!$F:$F,MOVIMIENTOS!$A:$A,DATE(PORTADA!$B$2,12,20),MOVIMIENTOS!$C:$C,X$4))</f>
        <v/>
      </c>
      <c r="Y24" s="22">
        <f>IF(DAY(DATE(PORTADA!$B$2,12,20))&lt;&gt;20,"",SUMIFS(MOVIMIENTOS!$F:$F,MOVIMIENTOS!$A:$A,DATE(PORTADA!$B$2,12,20),MOVIMIENTOS!$C:$C,Y$4))</f>
        <v/>
      </c>
      <c r="Z24" s="22">
        <f>IF(DAY(DATE(PORTADA!$B$2,12,20))&lt;&gt;20,"",SUMIFS(MOVIMIENTOS!$F:$F,MOVIMIENTOS!$A:$A,DATE(PORTADA!$B$2,12,20),MOVIMIENTOS!$C:$C,Z$4))</f>
        <v/>
      </c>
      <c r="AA24" s="22">
        <f>IF(DAY(DATE(PORTADA!$B$2,12,20))&lt;&gt;20,"",SUM(T24:Z24))</f>
        <v/>
      </c>
    </row>
    <row r="25">
      <c r="A25" s="23" t="inlineStr">
        <is>
          <t>CASA</t>
        </is>
      </c>
      <c r="B25" s="23" t="inlineStr">
        <is>
          <t>CUENTAS</t>
        </is>
      </c>
      <c r="C25" s="8">
        <f>CATEGORIAS!$E$19</f>
        <v/>
      </c>
      <c r="D25" s="8">
        <f>SUMIFS(MOVIMIENTOS!$F:$F,MOVIMIENTOS!$A:$A,"&gt;="&amp;DATE(PORTADA!$B$2,12,1),MOVIMIENTOS!$A:$A,"&lt;="&amp;EOMONTH(DATE(PORTADA!$B$2,12,1),0),MOVIMIENTOS!$D:$D,$B25)</f>
        <v/>
      </c>
      <c r="E25" s="8">
        <f>C25-D25</f>
        <v/>
      </c>
      <c r="F25" s="9">
        <f>IFERROR(D25/C25,"")</f>
        <v/>
      </c>
      <c r="S25" s="21">
        <f>IF(DAY(DATE(PORTADA!$B$2,12,21))&lt;&gt;21,"",21)</f>
        <v/>
      </c>
      <c r="T25" s="22">
        <f>IF(DAY(DATE(PORTADA!$B$2,12,21))&lt;&gt;21,"",SUMIFS(MOVIMIENTOS!$F:$F,MOVIMIENTOS!$A:$A,DATE(PORTADA!$B$2,12,21),MOVIMIENTOS!$C:$C,T$4))</f>
        <v/>
      </c>
      <c r="U25" s="22">
        <f>IF(DAY(DATE(PORTADA!$B$2,12,21))&lt;&gt;21,"",SUMIFS(MOVIMIENTOS!$F:$F,MOVIMIENTOS!$A:$A,DATE(PORTADA!$B$2,12,21),MOVIMIENTOS!$C:$C,U$4))</f>
        <v/>
      </c>
      <c r="V25" s="22">
        <f>IF(DAY(DATE(PORTADA!$B$2,12,21))&lt;&gt;21,"",SUMIFS(MOVIMIENTOS!$F:$F,MOVIMIENTOS!$A:$A,DATE(PORTADA!$B$2,12,21),MOVIMIENTOS!$C:$C,V$4))</f>
        <v/>
      </c>
      <c r="W25" s="22">
        <f>IF(DAY(DATE(PORTADA!$B$2,12,21))&lt;&gt;21,"",SUMIFS(MOVIMIENTOS!$F:$F,MOVIMIENTOS!$A:$A,DATE(PORTADA!$B$2,12,21),MOVIMIENTOS!$C:$C,W$4))</f>
        <v/>
      </c>
      <c r="X25" s="22">
        <f>IF(DAY(DATE(PORTADA!$B$2,12,21))&lt;&gt;21,"",SUMIFS(MOVIMIENTOS!$F:$F,MOVIMIENTOS!$A:$A,DATE(PORTADA!$B$2,12,21),MOVIMIENTOS!$C:$C,X$4))</f>
        <v/>
      </c>
      <c r="Y25" s="22">
        <f>IF(DAY(DATE(PORTADA!$B$2,12,21))&lt;&gt;21,"",SUMIFS(MOVIMIENTOS!$F:$F,MOVIMIENTOS!$A:$A,DATE(PORTADA!$B$2,12,21),MOVIMIENTOS!$C:$C,Y$4))</f>
        <v/>
      </c>
      <c r="Z25" s="22">
        <f>IF(DAY(DATE(PORTADA!$B$2,12,21))&lt;&gt;21,"",SUMIFS(MOVIMIENTOS!$F:$F,MOVIMIENTOS!$A:$A,DATE(PORTADA!$B$2,12,21),MOVIMIENTOS!$C:$C,Z$4))</f>
        <v/>
      </c>
      <c r="AA25" s="22">
        <f>IF(DAY(DATE(PORTADA!$B$2,12,21))&lt;&gt;21,"",SUM(T25:Z25))</f>
        <v/>
      </c>
    </row>
    <row r="26">
      <c r="A26" s="23" t="inlineStr">
        <is>
          <t>SALUD</t>
        </is>
      </c>
      <c r="B26" s="23" t="inlineStr">
        <is>
          <t>MEDICAMENTOS</t>
        </is>
      </c>
      <c r="C26" s="8">
        <f>CATEGORIAS!$E$20</f>
        <v/>
      </c>
      <c r="D26" s="8">
        <f>SUMIFS(MOVIMIENTOS!$F:$F,MOVIMIENTOS!$A:$A,"&gt;="&amp;DATE(PORTADA!$B$2,12,1),MOVIMIENTOS!$A:$A,"&lt;="&amp;EOMONTH(DATE(PORTADA!$B$2,12,1),0),MOVIMIENTOS!$D:$D,$B26)</f>
        <v/>
      </c>
      <c r="E26" s="8">
        <f>C26-D26</f>
        <v/>
      </c>
      <c r="F26" s="9">
        <f>IFERROR(D26/C26,"")</f>
        <v/>
      </c>
      <c r="S26" s="21">
        <f>IF(DAY(DATE(PORTADA!$B$2,12,22))&lt;&gt;22,"",22)</f>
        <v/>
      </c>
      <c r="T26" s="22">
        <f>IF(DAY(DATE(PORTADA!$B$2,12,22))&lt;&gt;22,"",SUMIFS(MOVIMIENTOS!$F:$F,MOVIMIENTOS!$A:$A,DATE(PORTADA!$B$2,12,22),MOVIMIENTOS!$C:$C,T$4))</f>
        <v/>
      </c>
      <c r="U26" s="22">
        <f>IF(DAY(DATE(PORTADA!$B$2,12,22))&lt;&gt;22,"",SUMIFS(MOVIMIENTOS!$F:$F,MOVIMIENTOS!$A:$A,DATE(PORTADA!$B$2,12,22),MOVIMIENTOS!$C:$C,U$4))</f>
        <v/>
      </c>
      <c r="V26" s="22">
        <f>IF(DAY(DATE(PORTADA!$B$2,12,22))&lt;&gt;22,"",SUMIFS(MOVIMIENTOS!$F:$F,MOVIMIENTOS!$A:$A,DATE(PORTADA!$B$2,12,22),MOVIMIENTOS!$C:$C,V$4))</f>
        <v/>
      </c>
      <c r="W26" s="22">
        <f>IF(DAY(DATE(PORTADA!$B$2,12,22))&lt;&gt;22,"",SUMIFS(MOVIMIENTOS!$F:$F,MOVIMIENTOS!$A:$A,DATE(PORTADA!$B$2,12,22),MOVIMIENTOS!$C:$C,W$4))</f>
        <v/>
      </c>
      <c r="X26" s="22">
        <f>IF(DAY(DATE(PORTADA!$B$2,12,22))&lt;&gt;22,"",SUMIFS(MOVIMIENTOS!$F:$F,MOVIMIENTOS!$A:$A,DATE(PORTADA!$B$2,12,22),MOVIMIENTOS!$C:$C,X$4))</f>
        <v/>
      </c>
      <c r="Y26" s="22">
        <f>IF(DAY(DATE(PORTADA!$B$2,12,22))&lt;&gt;22,"",SUMIFS(MOVIMIENTOS!$F:$F,MOVIMIENTOS!$A:$A,DATE(PORTADA!$B$2,12,22),MOVIMIENTOS!$C:$C,Y$4))</f>
        <v/>
      </c>
      <c r="Z26" s="22">
        <f>IF(DAY(DATE(PORTADA!$B$2,12,22))&lt;&gt;22,"",SUMIFS(MOVIMIENTOS!$F:$F,MOVIMIENTOS!$A:$A,DATE(PORTADA!$B$2,12,22),MOVIMIENTOS!$C:$C,Z$4))</f>
        <v/>
      </c>
      <c r="AA26" s="22">
        <f>IF(DAY(DATE(PORTADA!$B$2,12,22))&lt;&gt;22,"",SUM(T26:Z26))</f>
        <v/>
      </c>
    </row>
    <row r="27">
      <c r="A27" s="23" t="inlineStr">
        <is>
          <t>SALUD</t>
        </is>
      </c>
      <c r="B27" s="23" t="inlineStr">
        <is>
          <t>ROPA</t>
        </is>
      </c>
      <c r="C27" s="8">
        <f>CATEGORIAS!$E$21</f>
        <v/>
      </c>
      <c r="D27" s="8">
        <f>SUMIFS(MOVIMIENTOS!$F:$F,MOVIMIENTOS!$A:$A,"&gt;="&amp;DATE(PORTADA!$B$2,12,1),MOVIMIENTOS!$A:$A,"&lt;="&amp;EOMONTH(DATE(PORTADA!$B$2,12,1),0),MOVIMIENTOS!$D:$D,$B27)</f>
        <v/>
      </c>
      <c r="E27" s="8">
        <f>C27-D27</f>
        <v/>
      </c>
      <c r="F27" s="9">
        <f>IFERROR(D27/C27,"")</f>
        <v/>
      </c>
      <c r="S27" s="21">
        <f>IF(DAY(DATE(PORTADA!$B$2,12,23))&lt;&gt;23,"",23)</f>
        <v/>
      </c>
      <c r="T27" s="22">
        <f>IF(DAY(DATE(PORTADA!$B$2,12,23))&lt;&gt;23,"",SUMIFS(MOVIMIENTOS!$F:$F,MOVIMIENTOS!$A:$A,DATE(PORTADA!$B$2,12,23),MOVIMIENTOS!$C:$C,T$4))</f>
        <v/>
      </c>
      <c r="U27" s="22">
        <f>IF(DAY(DATE(PORTADA!$B$2,12,23))&lt;&gt;23,"",SUMIFS(MOVIMIENTOS!$F:$F,MOVIMIENTOS!$A:$A,DATE(PORTADA!$B$2,12,23),MOVIMIENTOS!$C:$C,U$4))</f>
        <v/>
      </c>
      <c r="V27" s="22">
        <f>IF(DAY(DATE(PORTADA!$B$2,12,23))&lt;&gt;23,"",SUMIFS(MOVIMIENTOS!$F:$F,MOVIMIENTOS!$A:$A,DATE(PORTADA!$B$2,12,23),MOVIMIENTOS!$C:$C,V$4))</f>
        <v/>
      </c>
      <c r="W27" s="22">
        <f>IF(DAY(DATE(PORTADA!$B$2,12,23))&lt;&gt;23,"",SUMIFS(MOVIMIENTOS!$F:$F,MOVIMIENTOS!$A:$A,DATE(PORTADA!$B$2,12,23),MOVIMIENTOS!$C:$C,W$4))</f>
        <v/>
      </c>
      <c r="X27" s="22">
        <f>IF(DAY(DATE(PORTADA!$B$2,12,23))&lt;&gt;23,"",SUMIFS(MOVIMIENTOS!$F:$F,MOVIMIENTOS!$A:$A,DATE(PORTADA!$B$2,12,23),MOVIMIENTOS!$C:$C,X$4))</f>
        <v/>
      </c>
      <c r="Y27" s="22">
        <f>IF(DAY(DATE(PORTADA!$B$2,12,23))&lt;&gt;23,"",SUMIFS(MOVIMIENTOS!$F:$F,MOVIMIENTOS!$A:$A,DATE(PORTADA!$B$2,12,23),MOVIMIENTOS!$C:$C,Y$4))</f>
        <v/>
      </c>
      <c r="Z27" s="22">
        <f>IF(DAY(DATE(PORTADA!$B$2,12,23))&lt;&gt;23,"",SUMIFS(MOVIMIENTOS!$F:$F,MOVIMIENTOS!$A:$A,DATE(PORTADA!$B$2,12,23),MOVIMIENTOS!$C:$C,Z$4))</f>
        <v/>
      </c>
      <c r="AA27" s="22">
        <f>IF(DAY(DATE(PORTADA!$B$2,12,23))&lt;&gt;23,"",SUM(T27:Z27))</f>
        <v/>
      </c>
    </row>
    <row r="28">
      <c r="A28" s="23" t="inlineStr">
        <is>
          <t>SALUD</t>
        </is>
      </c>
      <c r="B28" s="23" t="inlineStr">
        <is>
          <t>DEPORTE</t>
        </is>
      </c>
      <c r="C28" s="8">
        <f>CATEGORIAS!$E$22</f>
        <v/>
      </c>
      <c r="D28" s="8">
        <f>SUMIFS(MOVIMIENTOS!$F:$F,MOVIMIENTOS!$A:$A,"&gt;="&amp;DATE(PORTADA!$B$2,12,1),MOVIMIENTOS!$A:$A,"&lt;="&amp;EOMONTH(DATE(PORTADA!$B$2,12,1),0),MOVIMIENTOS!$D:$D,$B28)</f>
        <v/>
      </c>
      <c r="E28" s="8">
        <f>C28-D28</f>
        <v/>
      </c>
      <c r="F28" s="9">
        <f>IFERROR(D28/C28,"")</f>
        <v/>
      </c>
      <c r="S28" s="21">
        <f>IF(DAY(DATE(PORTADA!$B$2,12,24))&lt;&gt;24,"",24)</f>
        <v/>
      </c>
      <c r="T28" s="22">
        <f>IF(DAY(DATE(PORTADA!$B$2,12,24))&lt;&gt;24,"",SUMIFS(MOVIMIENTOS!$F:$F,MOVIMIENTOS!$A:$A,DATE(PORTADA!$B$2,12,24),MOVIMIENTOS!$C:$C,T$4))</f>
        <v/>
      </c>
      <c r="U28" s="22">
        <f>IF(DAY(DATE(PORTADA!$B$2,12,24))&lt;&gt;24,"",SUMIFS(MOVIMIENTOS!$F:$F,MOVIMIENTOS!$A:$A,DATE(PORTADA!$B$2,12,24),MOVIMIENTOS!$C:$C,U$4))</f>
        <v/>
      </c>
      <c r="V28" s="22">
        <f>IF(DAY(DATE(PORTADA!$B$2,12,24))&lt;&gt;24,"",SUMIFS(MOVIMIENTOS!$F:$F,MOVIMIENTOS!$A:$A,DATE(PORTADA!$B$2,12,24),MOVIMIENTOS!$C:$C,V$4))</f>
        <v/>
      </c>
      <c r="W28" s="22">
        <f>IF(DAY(DATE(PORTADA!$B$2,12,24))&lt;&gt;24,"",SUMIFS(MOVIMIENTOS!$F:$F,MOVIMIENTOS!$A:$A,DATE(PORTADA!$B$2,12,24),MOVIMIENTOS!$C:$C,W$4))</f>
        <v/>
      </c>
      <c r="X28" s="22">
        <f>IF(DAY(DATE(PORTADA!$B$2,12,24))&lt;&gt;24,"",SUMIFS(MOVIMIENTOS!$F:$F,MOVIMIENTOS!$A:$A,DATE(PORTADA!$B$2,12,24),MOVIMIENTOS!$C:$C,X$4))</f>
        <v/>
      </c>
      <c r="Y28" s="22">
        <f>IF(DAY(DATE(PORTADA!$B$2,12,24))&lt;&gt;24,"",SUMIFS(MOVIMIENTOS!$F:$F,MOVIMIENTOS!$A:$A,DATE(PORTADA!$B$2,12,24),MOVIMIENTOS!$C:$C,Y$4))</f>
        <v/>
      </c>
      <c r="Z28" s="22">
        <f>IF(DAY(DATE(PORTADA!$B$2,12,24))&lt;&gt;24,"",SUMIFS(MOVIMIENTOS!$F:$F,MOVIMIENTOS!$A:$A,DATE(PORTADA!$B$2,12,24),MOVIMIENTOS!$C:$C,Z$4))</f>
        <v/>
      </c>
      <c r="AA28" s="22">
        <f>IF(DAY(DATE(PORTADA!$B$2,12,24))&lt;&gt;24,"",SUM(T28:Z28))</f>
        <v/>
      </c>
    </row>
    <row r="29">
      <c r="A29" s="23" t="inlineStr">
        <is>
          <t>AUTO</t>
        </is>
      </c>
      <c r="B29" s="23" t="inlineStr">
        <is>
          <t>BENCINA</t>
        </is>
      </c>
      <c r="C29" s="8">
        <f>CATEGORIAS!$E$23</f>
        <v/>
      </c>
      <c r="D29" s="8">
        <f>SUMIFS(MOVIMIENTOS!$F:$F,MOVIMIENTOS!$A:$A,"&gt;="&amp;DATE(PORTADA!$B$2,12,1),MOVIMIENTOS!$A:$A,"&lt;="&amp;EOMONTH(DATE(PORTADA!$B$2,12,1),0),MOVIMIENTOS!$D:$D,$B29)</f>
        <v/>
      </c>
      <c r="E29" s="8">
        <f>C29-D29</f>
        <v/>
      </c>
      <c r="F29" s="9">
        <f>IFERROR(D29/C29,"")</f>
        <v/>
      </c>
      <c r="S29" s="21">
        <f>IF(DAY(DATE(PORTADA!$B$2,12,25))&lt;&gt;25,"",25)</f>
        <v/>
      </c>
      <c r="T29" s="22">
        <f>IF(DAY(DATE(PORTADA!$B$2,12,25))&lt;&gt;25,"",SUMIFS(MOVIMIENTOS!$F:$F,MOVIMIENTOS!$A:$A,DATE(PORTADA!$B$2,12,25),MOVIMIENTOS!$C:$C,T$4))</f>
        <v/>
      </c>
      <c r="U29" s="22">
        <f>IF(DAY(DATE(PORTADA!$B$2,12,25))&lt;&gt;25,"",SUMIFS(MOVIMIENTOS!$F:$F,MOVIMIENTOS!$A:$A,DATE(PORTADA!$B$2,12,25),MOVIMIENTOS!$C:$C,U$4))</f>
        <v/>
      </c>
      <c r="V29" s="22">
        <f>IF(DAY(DATE(PORTADA!$B$2,12,25))&lt;&gt;25,"",SUMIFS(MOVIMIENTOS!$F:$F,MOVIMIENTOS!$A:$A,DATE(PORTADA!$B$2,12,25),MOVIMIENTOS!$C:$C,V$4))</f>
        <v/>
      </c>
      <c r="W29" s="22">
        <f>IF(DAY(DATE(PORTADA!$B$2,12,25))&lt;&gt;25,"",SUMIFS(MOVIMIENTOS!$F:$F,MOVIMIENTOS!$A:$A,DATE(PORTADA!$B$2,12,25),MOVIMIENTOS!$C:$C,W$4))</f>
        <v/>
      </c>
      <c r="X29" s="22">
        <f>IF(DAY(DATE(PORTADA!$B$2,12,25))&lt;&gt;25,"",SUMIFS(MOVIMIENTOS!$F:$F,MOVIMIENTOS!$A:$A,DATE(PORTADA!$B$2,12,25),MOVIMIENTOS!$C:$C,X$4))</f>
        <v/>
      </c>
      <c r="Y29" s="22">
        <f>IF(DAY(DATE(PORTADA!$B$2,12,25))&lt;&gt;25,"",SUMIFS(MOVIMIENTOS!$F:$F,MOVIMIENTOS!$A:$A,DATE(PORTADA!$B$2,12,25),MOVIMIENTOS!$C:$C,Y$4))</f>
        <v/>
      </c>
      <c r="Z29" s="22">
        <f>IF(DAY(DATE(PORTADA!$B$2,12,25))&lt;&gt;25,"",SUMIFS(MOVIMIENTOS!$F:$F,MOVIMIENTOS!$A:$A,DATE(PORTADA!$B$2,12,25),MOVIMIENTOS!$C:$C,Z$4))</f>
        <v/>
      </c>
      <c r="AA29" s="22">
        <f>IF(DAY(DATE(PORTADA!$B$2,12,25))&lt;&gt;25,"",SUM(T29:Z29))</f>
        <v/>
      </c>
    </row>
    <row r="30">
      <c r="A30" s="23" t="inlineStr">
        <is>
          <t>AUTO</t>
        </is>
      </c>
      <c r="B30" s="23" t="inlineStr">
        <is>
          <t>OTROS</t>
        </is>
      </c>
      <c r="C30" s="8">
        <f>CATEGORIAS!$E$24</f>
        <v/>
      </c>
      <c r="D30" s="8">
        <f>SUMIFS(MOVIMIENTOS!$F:$F,MOVIMIENTOS!$A:$A,"&gt;="&amp;DATE(PORTADA!$B$2,12,1),MOVIMIENTOS!$A:$A,"&lt;="&amp;EOMONTH(DATE(PORTADA!$B$2,12,1),0),MOVIMIENTOS!$D:$D,$B30)</f>
        <v/>
      </c>
      <c r="E30" s="8">
        <f>C30-D30</f>
        <v/>
      </c>
      <c r="F30" s="9">
        <f>IFERROR(D30/C30,"")</f>
        <v/>
      </c>
      <c r="S30" s="21">
        <f>IF(DAY(DATE(PORTADA!$B$2,12,26))&lt;&gt;26,"",26)</f>
        <v/>
      </c>
      <c r="T30" s="22">
        <f>IF(DAY(DATE(PORTADA!$B$2,12,26))&lt;&gt;26,"",SUMIFS(MOVIMIENTOS!$F:$F,MOVIMIENTOS!$A:$A,DATE(PORTADA!$B$2,12,26),MOVIMIENTOS!$C:$C,T$4))</f>
        <v/>
      </c>
      <c r="U30" s="22">
        <f>IF(DAY(DATE(PORTADA!$B$2,12,26))&lt;&gt;26,"",SUMIFS(MOVIMIENTOS!$F:$F,MOVIMIENTOS!$A:$A,DATE(PORTADA!$B$2,12,26),MOVIMIENTOS!$C:$C,U$4))</f>
        <v/>
      </c>
      <c r="V30" s="22">
        <f>IF(DAY(DATE(PORTADA!$B$2,12,26))&lt;&gt;26,"",SUMIFS(MOVIMIENTOS!$F:$F,MOVIMIENTOS!$A:$A,DATE(PORTADA!$B$2,12,26),MOVIMIENTOS!$C:$C,V$4))</f>
        <v/>
      </c>
      <c r="W30" s="22">
        <f>IF(DAY(DATE(PORTADA!$B$2,12,26))&lt;&gt;26,"",SUMIFS(MOVIMIENTOS!$F:$F,MOVIMIENTOS!$A:$A,DATE(PORTADA!$B$2,12,26),MOVIMIENTOS!$C:$C,W$4))</f>
        <v/>
      </c>
      <c r="X30" s="22">
        <f>IF(DAY(DATE(PORTADA!$B$2,12,26))&lt;&gt;26,"",SUMIFS(MOVIMIENTOS!$F:$F,MOVIMIENTOS!$A:$A,DATE(PORTADA!$B$2,12,26),MOVIMIENTOS!$C:$C,X$4))</f>
        <v/>
      </c>
      <c r="Y30" s="22">
        <f>IF(DAY(DATE(PORTADA!$B$2,12,26))&lt;&gt;26,"",SUMIFS(MOVIMIENTOS!$F:$F,MOVIMIENTOS!$A:$A,DATE(PORTADA!$B$2,12,26),MOVIMIENTOS!$C:$C,Y$4))</f>
        <v/>
      </c>
      <c r="Z30" s="22">
        <f>IF(DAY(DATE(PORTADA!$B$2,12,26))&lt;&gt;26,"",SUMIFS(MOVIMIENTOS!$F:$F,MOVIMIENTOS!$A:$A,DATE(PORTADA!$B$2,12,26),MOVIMIENTOS!$C:$C,Z$4))</f>
        <v/>
      </c>
      <c r="AA30" s="22">
        <f>IF(DAY(DATE(PORTADA!$B$2,12,26))&lt;&gt;26,"",SUM(T30:Z30))</f>
        <v/>
      </c>
    </row>
    <row r="31">
      <c r="A31" s="23" t="inlineStr">
        <is>
          <t>DIVERSION</t>
        </is>
      </c>
      <c r="B31" s="23" t="inlineStr">
        <is>
          <t>COPETE</t>
        </is>
      </c>
      <c r="C31" s="8">
        <f>CATEGORIAS!$E$25</f>
        <v/>
      </c>
      <c r="D31" s="8">
        <f>SUMIFS(MOVIMIENTOS!$F:$F,MOVIMIENTOS!$A:$A,"&gt;="&amp;DATE(PORTADA!$B$2,12,1),MOVIMIENTOS!$A:$A,"&lt;="&amp;EOMONTH(DATE(PORTADA!$B$2,12,1),0),MOVIMIENTOS!$D:$D,$B31)</f>
        <v/>
      </c>
      <c r="E31" s="8">
        <f>C31-D31</f>
        <v/>
      </c>
      <c r="F31" s="9">
        <f>IFERROR(D31/C31,"")</f>
        <v/>
      </c>
      <c r="S31" s="21">
        <f>IF(DAY(DATE(PORTADA!$B$2,12,27))&lt;&gt;27,"",27)</f>
        <v/>
      </c>
      <c r="T31" s="22">
        <f>IF(DAY(DATE(PORTADA!$B$2,12,27))&lt;&gt;27,"",SUMIFS(MOVIMIENTOS!$F:$F,MOVIMIENTOS!$A:$A,DATE(PORTADA!$B$2,12,27),MOVIMIENTOS!$C:$C,T$4))</f>
        <v/>
      </c>
      <c r="U31" s="22">
        <f>IF(DAY(DATE(PORTADA!$B$2,12,27))&lt;&gt;27,"",SUMIFS(MOVIMIENTOS!$F:$F,MOVIMIENTOS!$A:$A,DATE(PORTADA!$B$2,12,27),MOVIMIENTOS!$C:$C,U$4))</f>
        <v/>
      </c>
      <c r="V31" s="22">
        <f>IF(DAY(DATE(PORTADA!$B$2,12,27))&lt;&gt;27,"",SUMIFS(MOVIMIENTOS!$F:$F,MOVIMIENTOS!$A:$A,DATE(PORTADA!$B$2,12,27),MOVIMIENTOS!$C:$C,V$4))</f>
        <v/>
      </c>
      <c r="W31" s="22">
        <f>IF(DAY(DATE(PORTADA!$B$2,12,27))&lt;&gt;27,"",SUMIFS(MOVIMIENTOS!$F:$F,MOVIMIENTOS!$A:$A,DATE(PORTADA!$B$2,12,27),MOVIMIENTOS!$C:$C,W$4))</f>
        <v/>
      </c>
      <c r="X31" s="22">
        <f>IF(DAY(DATE(PORTADA!$B$2,12,27))&lt;&gt;27,"",SUMIFS(MOVIMIENTOS!$F:$F,MOVIMIENTOS!$A:$A,DATE(PORTADA!$B$2,12,27),MOVIMIENTOS!$C:$C,X$4))</f>
        <v/>
      </c>
      <c r="Y31" s="22">
        <f>IF(DAY(DATE(PORTADA!$B$2,12,27))&lt;&gt;27,"",SUMIFS(MOVIMIENTOS!$F:$F,MOVIMIENTOS!$A:$A,DATE(PORTADA!$B$2,12,27),MOVIMIENTOS!$C:$C,Y$4))</f>
        <v/>
      </c>
      <c r="Z31" s="22">
        <f>IF(DAY(DATE(PORTADA!$B$2,12,27))&lt;&gt;27,"",SUMIFS(MOVIMIENTOS!$F:$F,MOVIMIENTOS!$A:$A,DATE(PORTADA!$B$2,12,27),MOVIMIENTOS!$C:$C,Z$4))</f>
        <v/>
      </c>
      <c r="AA31" s="22">
        <f>IF(DAY(DATE(PORTADA!$B$2,12,27))&lt;&gt;27,"",SUM(T31:Z31))</f>
        <v/>
      </c>
    </row>
    <row r="32">
      <c r="A32" s="23" t="inlineStr">
        <is>
          <t>DIVERSION</t>
        </is>
      </c>
      <c r="B32" s="23" t="inlineStr">
        <is>
          <t>WEED</t>
        </is>
      </c>
      <c r="C32" s="8">
        <f>CATEGORIAS!$E$26</f>
        <v/>
      </c>
      <c r="D32" s="8">
        <f>SUMIFS(MOVIMIENTOS!$F:$F,MOVIMIENTOS!$A:$A,"&gt;="&amp;DATE(PORTADA!$B$2,12,1),MOVIMIENTOS!$A:$A,"&lt;="&amp;EOMONTH(DATE(PORTADA!$B$2,12,1),0),MOVIMIENTOS!$D:$D,$B32)</f>
        <v/>
      </c>
      <c r="E32" s="8">
        <f>C32-D32</f>
        <v/>
      </c>
      <c r="F32" s="9">
        <f>IFERROR(D32/C32,"")</f>
        <v/>
      </c>
      <c r="S32" s="21">
        <f>IF(DAY(DATE(PORTADA!$B$2,12,28))&lt;&gt;28,"",28)</f>
        <v/>
      </c>
      <c r="T32" s="22">
        <f>IF(DAY(DATE(PORTADA!$B$2,12,28))&lt;&gt;28,"",SUMIFS(MOVIMIENTOS!$F:$F,MOVIMIENTOS!$A:$A,DATE(PORTADA!$B$2,12,28),MOVIMIENTOS!$C:$C,T$4))</f>
        <v/>
      </c>
      <c r="U32" s="22">
        <f>IF(DAY(DATE(PORTADA!$B$2,12,28))&lt;&gt;28,"",SUMIFS(MOVIMIENTOS!$F:$F,MOVIMIENTOS!$A:$A,DATE(PORTADA!$B$2,12,28),MOVIMIENTOS!$C:$C,U$4))</f>
        <v/>
      </c>
      <c r="V32" s="22">
        <f>IF(DAY(DATE(PORTADA!$B$2,12,28))&lt;&gt;28,"",SUMIFS(MOVIMIENTOS!$F:$F,MOVIMIENTOS!$A:$A,DATE(PORTADA!$B$2,12,28),MOVIMIENTOS!$C:$C,V$4))</f>
        <v/>
      </c>
      <c r="W32" s="22">
        <f>IF(DAY(DATE(PORTADA!$B$2,12,28))&lt;&gt;28,"",SUMIFS(MOVIMIENTOS!$F:$F,MOVIMIENTOS!$A:$A,DATE(PORTADA!$B$2,12,28),MOVIMIENTOS!$C:$C,W$4))</f>
        <v/>
      </c>
      <c r="X32" s="22">
        <f>IF(DAY(DATE(PORTADA!$B$2,12,28))&lt;&gt;28,"",SUMIFS(MOVIMIENTOS!$F:$F,MOVIMIENTOS!$A:$A,DATE(PORTADA!$B$2,12,28),MOVIMIENTOS!$C:$C,X$4))</f>
        <v/>
      </c>
      <c r="Y32" s="22">
        <f>IF(DAY(DATE(PORTADA!$B$2,12,28))&lt;&gt;28,"",SUMIFS(MOVIMIENTOS!$F:$F,MOVIMIENTOS!$A:$A,DATE(PORTADA!$B$2,12,28),MOVIMIENTOS!$C:$C,Y$4))</f>
        <v/>
      </c>
      <c r="Z32" s="22">
        <f>IF(DAY(DATE(PORTADA!$B$2,12,28))&lt;&gt;28,"",SUMIFS(MOVIMIENTOS!$F:$F,MOVIMIENTOS!$A:$A,DATE(PORTADA!$B$2,12,28),MOVIMIENTOS!$C:$C,Z$4))</f>
        <v/>
      </c>
      <c r="AA32" s="22">
        <f>IF(DAY(DATE(PORTADA!$B$2,12,28))&lt;&gt;28,"",SUM(T32:Z32))</f>
        <v/>
      </c>
    </row>
    <row r="33">
      <c r="A33" s="23" t="inlineStr">
        <is>
          <t>DIVERSION</t>
        </is>
      </c>
      <c r="B33" s="23" t="inlineStr">
        <is>
          <t>CARCASA CELULAR</t>
        </is>
      </c>
      <c r="C33" s="8">
        <f>CATEGORIAS!$E$27</f>
        <v/>
      </c>
      <c r="D33" s="8">
        <f>SUMIFS(MOVIMIENTOS!$F:$F,MOVIMIENTOS!$A:$A,"&gt;="&amp;DATE(PORTADA!$B$2,12,1),MOVIMIENTOS!$A:$A,"&lt;="&amp;EOMONTH(DATE(PORTADA!$B$2,12,1),0),MOVIMIENTOS!$D:$D,$B33)</f>
        <v/>
      </c>
      <c r="E33" s="8">
        <f>C33-D33</f>
        <v/>
      </c>
      <c r="F33" s="9">
        <f>IFERROR(D33/C33,"")</f>
        <v/>
      </c>
      <c r="S33" s="21">
        <f>IF(DAY(DATE(PORTADA!$B$2,12,29))&lt;&gt;29,"",29)</f>
        <v/>
      </c>
      <c r="T33" s="22">
        <f>IF(DAY(DATE(PORTADA!$B$2,12,29))&lt;&gt;29,"",SUMIFS(MOVIMIENTOS!$F:$F,MOVIMIENTOS!$A:$A,DATE(PORTADA!$B$2,12,29),MOVIMIENTOS!$C:$C,T$4))</f>
        <v/>
      </c>
      <c r="U33" s="22">
        <f>IF(DAY(DATE(PORTADA!$B$2,12,29))&lt;&gt;29,"",SUMIFS(MOVIMIENTOS!$F:$F,MOVIMIENTOS!$A:$A,DATE(PORTADA!$B$2,12,29),MOVIMIENTOS!$C:$C,U$4))</f>
        <v/>
      </c>
      <c r="V33" s="22">
        <f>IF(DAY(DATE(PORTADA!$B$2,12,29))&lt;&gt;29,"",SUMIFS(MOVIMIENTOS!$F:$F,MOVIMIENTOS!$A:$A,DATE(PORTADA!$B$2,12,29),MOVIMIENTOS!$C:$C,V$4))</f>
        <v/>
      </c>
      <c r="W33" s="22">
        <f>IF(DAY(DATE(PORTADA!$B$2,12,29))&lt;&gt;29,"",SUMIFS(MOVIMIENTOS!$F:$F,MOVIMIENTOS!$A:$A,DATE(PORTADA!$B$2,12,29),MOVIMIENTOS!$C:$C,W$4))</f>
        <v/>
      </c>
      <c r="X33" s="22">
        <f>IF(DAY(DATE(PORTADA!$B$2,12,29))&lt;&gt;29,"",SUMIFS(MOVIMIENTOS!$F:$F,MOVIMIENTOS!$A:$A,DATE(PORTADA!$B$2,12,29),MOVIMIENTOS!$C:$C,X$4))</f>
        <v/>
      </c>
      <c r="Y33" s="22">
        <f>IF(DAY(DATE(PORTADA!$B$2,12,29))&lt;&gt;29,"",SUMIFS(MOVIMIENTOS!$F:$F,MOVIMIENTOS!$A:$A,DATE(PORTADA!$B$2,12,29),MOVIMIENTOS!$C:$C,Y$4))</f>
        <v/>
      </c>
      <c r="Z33" s="22">
        <f>IF(DAY(DATE(PORTADA!$B$2,12,29))&lt;&gt;29,"",SUMIFS(MOVIMIENTOS!$F:$F,MOVIMIENTOS!$A:$A,DATE(PORTADA!$B$2,12,29),MOVIMIENTOS!$C:$C,Z$4))</f>
        <v/>
      </c>
      <c r="AA33" s="22">
        <f>IF(DAY(DATE(PORTADA!$B$2,12,29))&lt;&gt;29,"",SUM(T33:Z33))</f>
        <v/>
      </c>
    </row>
    <row r="34">
      <c r="A34" s="23" t="inlineStr">
        <is>
          <t>DIVERSION</t>
        </is>
      </c>
      <c r="B34" s="23" t="inlineStr">
        <is>
          <t>SALIDA CON AMIGOS</t>
        </is>
      </c>
      <c r="C34" s="8">
        <f>CATEGORIAS!$E$28</f>
        <v/>
      </c>
      <c r="D34" s="8">
        <f>SUMIFS(MOVIMIENTOS!$F:$F,MOVIMIENTOS!$A:$A,"&gt;="&amp;DATE(PORTADA!$B$2,12,1),MOVIMIENTOS!$A:$A,"&lt;="&amp;EOMONTH(DATE(PORTADA!$B$2,12,1),0),MOVIMIENTOS!$D:$D,$B34)</f>
        <v/>
      </c>
      <c r="E34" s="8">
        <f>C34-D34</f>
        <v/>
      </c>
      <c r="F34" s="9">
        <f>IFERROR(D34/C34,"")</f>
        <v/>
      </c>
      <c r="S34" s="21">
        <f>IF(DAY(DATE(PORTADA!$B$2,12,30))&lt;&gt;30,"",30)</f>
        <v/>
      </c>
      <c r="T34" s="22">
        <f>IF(DAY(DATE(PORTADA!$B$2,12,30))&lt;&gt;30,"",SUMIFS(MOVIMIENTOS!$F:$F,MOVIMIENTOS!$A:$A,DATE(PORTADA!$B$2,12,30),MOVIMIENTOS!$C:$C,T$4))</f>
        <v/>
      </c>
      <c r="U34" s="22">
        <f>IF(DAY(DATE(PORTADA!$B$2,12,30))&lt;&gt;30,"",SUMIFS(MOVIMIENTOS!$F:$F,MOVIMIENTOS!$A:$A,DATE(PORTADA!$B$2,12,30),MOVIMIENTOS!$C:$C,U$4))</f>
        <v/>
      </c>
      <c r="V34" s="22">
        <f>IF(DAY(DATE(PORTADA!$B$2,12,30))&lt;&gt;30,"",SUMIFS(MOVIMIENTOS!$F:$F,MOVIMIENTOS!$A:$A,DATE(PORTADA!$B$2,12,30),MOVIMIENTOS!$C:$C,V$4))</f>
        <v/>
      </c>
      <c r="W34" s="22">
        <f>IF(DAY(DATE(PORTADA!$B$2,12,30))&lt;&gt;30,"",SUMIFS(MOVIMIENTOS!$F:$F,MOVIMIENTOS!$A:$A,DATE(PORTADA!$B$2,12,30),MOVIMIENTOS!$C:$C,W$4))</f>
        <v/>
      </c>
      <c r="X34" s="22">
        <f>IF(DAY(DATE(PORTADA!$B$2,12,30))&lt;&gt;30,"",SUMIFS(MOVIMIENTOS!$F:$F,MOVIMIENTOS!$A:$A,DATE(PORTADA!$B$2,12,30),MOVIMIENTOS!$C:$C,X$4))</f>
        <v/>
      </c>
      <c r="Y34" s="22">
        <f>IF(DAY(DATE(PORTADA!$B$2,12,30))&lt;&gt;30,"",SUMIFS(MOVIMIENTOS!$F:$F,MOVIMIENTOS!$A:$A,DATE(PORTADA!$B$2,12,30),MOVIMIENTOS!$C:$C,Y$4))</f>
        <v/>
      </c>
      <c r="Z34" s="22">
        <f>IF(DAY(DATE(PORTADA!$B$2,12,30))&lt;&gt;30,"",SUMIFS(MOVIMIENTOS!$F:$F,MOVIMIENTOS!$A:$A,DATE(PORTADA!$B$2,12,30),MOVIMIENTOS!$C:$C,Z$4))</f>
        <v/>
      </c>
      <c r="AA34" s="22">
        <f>IF(DAY(DATE(PORTADA!$B$2,12,30))&lt;&gt;30,"",SUM(T34:Z34))</f>
        <v/>
      </c>
    </row>
    <row r="35">
      <c r="A35" s="23" t="inlineStr">
        <is>
          <t>OTROS</t>
        </is>
      </c>
      <c r="B35" s="23" t="inlineStr">
        <is>
          <t>CHICHES</t>
        </is>
      </c>
      <c r="C35" s="8">
        <f>CATEGORIAS!$E$29</f>
        <v/>
      </c>
      <c r="D35" s="8">
        <f>SUMIFS(MOVIMIENTOS!$F:$F,MOVIMIENTOS!$A:$A,"&gt;="&amp;DATE(PORTADA!$B$2,12,1),MOVIMIENTOS!$A:$A,"&lt;="&amp;EOMONTH(DATE(PORTADA!$B$2,12,1),0),MOVIMIENTOS!$D:$D,$B35)</f>
        <v/>
      </c>
      <c r="E35" s="8">
        <f>C35-D35</f>
        <v/>
      </c>
      <c r="F35" s="9">
        <f>IFERROR(D35/C35,"")</f>
        <v/>
      </c>
      <c r="S35" s="21">
        <f>IF(DAY(DATE(PORTADA!$B$2,12,31))&lt;&gt;31,"",31)</f>
        <v/>
      </c>
      <c r="T35" s="22">
        <f>IF(DAY(DATE(PORTADA!$B$2,12,31))&lt;&gt;31,"",SUMIFS(MOVIMIENTOS!$F:$F,MOVIMIENTOS!$A:$A,DATE(PORTADA!$B$2,12,31),MOVIMIENTOS!$C:$C,T$4))</f>
        <v/>
      </c>
      <c r="U35" s="22">
        <f>IF(DAY(DATE(PORTADA!$B$2,12,31))&lt;&gt;31,"",SUMIFS(MOVIMIENTOS!$F:$F,MOVIMIENTOS!$A:$A,DATE(PORTADA!$B$2,12,31),MOVIMIENTOS!$C:$C,U$4))</f>
        <v/>
      </c>
      <c r="V35" s="22">
        <f>IF(DAY(DATE(PORTADA!$B$2,12,31))&lt;&gt;31,"",SUMIFS(MOVIMIENTOS!$F:$F,MOVIMIENTOS!$A:$A,DATE(PORTADA!$B$2,12,31),MOVIMIENTOS!$C:$C,V$4))</f>
        <v/>
      </c>
      <c r="W35" s="22">
        <f>IF(DAY(DATE(PORTADA!$B$2,12,31))&lt;&gt;31,"",SUMIFS(MOVIMIENTOS!$F:$F,MOVIMIENTOS!$A:$A,DATE(PORTADA!$B$2,12,31),MOVIMIENTOS!$C:$C,W$4))</f>
        <v/>
      </c>
      <c r="X35" s="22">
        <f>IF(DAY(DATE(PORTADA!$B$2,12,31))&lt;&gt;31,"",SUMIFS(MOVIMIENTOS!$F:$F,MOVIMIENTOS!$A:$A,DATE(PORTADA!$B$2,12,31),MOVIMIENTOS!$C:$C,X$4))</f>
        <v/>
      </c>
      <c r="Y35" s="22">
        <f>IF(DAY(DATE(PORTADA!$B$2,12,31))&lt;&gt;31,"",SUMIFS(MOVIMIENTOS!$F:$F,MOVIMIENTOS!$A:$A,DATE(PORTADA!$B$2,12,31),MOVIMIENTOS!$C:$C,Y$4))</f>
        <v/>
      </c>
      <c r="Z35" s="22">
        <f>IF(DAY(DATE(PORTADA!$B$2,12,31))&lt;&gt;31,"",SUMIFS(MOVIMIENTOS!$F:$F,MOVIMIENTOS!$A:$A,DATE(PORTADA!$B$2,12,31),MOVIMIENTOS!$C:$C,Z$4))</f>
        <v/>
      </c>
      <c r="AA35" s="22">
        <f>IF(DAY(DATE(PORTADA!$B$2,12,31))&lt;&gt;31,"",SUM(T35:Z35))</f>
        <v/>
      </c>
    </row>
    <row r="36">
      <c r="A36" s="23" t="inlineStr">
        <is>
          <t>OTROS</t>
        </is>
      </c>
      <c r="B36" s="23" t="inlineStr">
        <is>
          <t>DONACIONES</t>
        </is>
      </c>
      <c r="C36" s="8">
        <f>CATEGORIAS!$E$30</f>
        <v/>
      </c>
      <c r="D36" s="8">
        <f>SUMIFS(MOVIMIENTOS!$F:$F,MOVIMIENTOS!$A:$A,"&gt;="&amp;DATE(PORTADA!$B$2,12,1),MOVIMIENTOS!$A:$A,"&lt;="&amp;EOMONTH(DATE(PORTADA!$B$2,12,1),0),MOVIMIENTOS!$D:$D,$B36)</f>
        <v/>
      </c>
      <c r="E36" s="8">
        <f>C36-D36</f>
        <v/>
      </c>
      <c r="F36" s="9">
        <f>IFERROR(D36/C36,"")</f>
        <v/>
      </c>
      <c r="S36" s="10" t="inlineStr">
        <is>
          <t>MES</t>
        </is>
      </c>
      <c r="T36" s="11">
        <f>SUM(T5:T35)</f>
        <v/>
      </c>
      <c r="U36" s="11">
        <f>SUM(U5:U35)</f>
        <v/>
      </c>
      <c r="V36" s="11">
        <f>SUM(V5:V35)</f>
        <v/>
      </c>
      <c r="W36" s="11">
        <f>SUM(W5:W35)</f>
        <v/>
      </c>
      <c r="X36" s="11">
        <f>SUM(X5:X35)</f>
        <v/>
      </c>
      <c r="Y36" s="11">
        <f>SUM(Y5:Y35)</f>
        <v/>
      </c>
      <c r="Z36" s="11">
        <f>SUM(Z5:Z35)</f>
        <v/>
      </c>
      <c r="AA36" s="11">
        <f>SUM(AA5:AA35)</f>
        <v/>
      </c>
    </row>
    <row r="37">
      <c r="A37" s="23" t="inlineStr">
        <is>
          <t>OTROS</t>
        </is>
      </c>
      <c r="B37" s="23" t="inlineStr">
        <is>
          <t>PRESTAMOS</t>
        </is>
      </c>
      <c r="C37" s="8">
        <f>CATEGORIAS!$E$31</f>
        <v/>
      </c>
      <c r="D37" s="8">
        <f>SUMIFS(MOVIMIENTOS!$F:$F,MOVIMIENTOS!$A:$A,"&gt;="&amp;DATE(PORTADA!$B$2,12,1),MOVIMIENTOS!$A:$A,"&lt;="&amp;EOMONTH(DATE(PORTADA!$B$2,12,1),0),MOVIMIENTOS!$D:$D,$B37)</f>
        <v/>
      </c>
      <c r="E37" s="8">
        <f>C37-D37</f>
        <v/>
      </c>
      <c r="F37" s="9">
        <f>IFERROR(D37/C37,"")</f>
        <v/>
      </c>
    </row>
    <row r="38">
      <c r="A38" s="23" t="inlineStr">
        <is>
          <t>OTROS</t>
        </is>
      </c>
      <c r="B38" s="23" t="inlineStr">
        <is>
          <t>LOCOMOCION</t>
        </is>
      </c>
      <c r="C38" s="8">
        <f>CATEGORIAS!$E$32</f>
        <v/>
      </c>
      <c r="D38" s="8">
        <f>SUMIFS(MOVIMIENTOS!$F:$F,MOVIMIENTOS!$A:$A,"&gt;="&amp;DATE(PORTADA!$B$2,12,1),MOVIMIENTOS!$A:$A,"&lt;="&amp;EOMONTH(DATE(PORTADA!$B$2,12,1),0),MOVIMIENTOS!$D:$D,$B38)</f>
        <v/>
      </c>
      <c r="E38" s="8">
        <f>C38-D38</f>
        <v/>
      </c>
      <c r="F38" s="9">
        <f>IFERROR(D38/C38,"")</f>
        <v/>
      </c>
    </row>
    <row r="39">
      <c r="A39" s="23" t="inlineStr">
        <is>
          <t>OTROS</t>
        </is>
      </c>
      <c r="B39" s="23" t="inlineStr">
        <is>
          <t>OTROS GASTOS</t>
        </is>
      </c>
      <c r="C39" s="8">
        <f>CATEGORIAS!$E$33</f>
        <v/>
      </c>
      <c r="D39" s="8">
        <f>SUMIFS(MOVIMIENTOS!$F:$F,MOVIMIENTOS!$A:$A,"&gt;="&amp;DATE(PORTADA!$B$2,12,1),MOVIMIENTOS!$A:$A,"&lt;="&amp;EOMONTH(DATE(PORTADA!$B$2,12,1),0),MOVIMIENTOS!$D:$D,$B39)</f>
        <v/>
      </c>
      <c r="E39" s="8">
        <f>C39-D39</f>
        <v/>
      </c>
      <c r="F39" s="9">
        <f>IFERROR(D39/C39,"")</f>
        <v/>
      </c>
    </row>
    <row r="40">
      <c r="A40" s="10" t="n"/>
      <c r="B40" s="10" t="inlineStr">
        <is>
          <t>TOTAL EGRESOS</t>
        </is>
      </c>
      <c r="C40" s="11">
        <f>SUM(C17:C39)</f>
        <v/>
      </c>
      <c r="D40" s="11">
        <f>SUM(D17:D39)</f>
        <v/>
      </c>
      <c r="E40" s="11">
        <f>SUM(E17:E39)</f>
        <v/>
      </c>
      <c r="F40" s="10" t="n"/>
    </row>
    <row r="42">
      <c r="A42" s="2" t="inlineStr">
        <is>
          <t>POR GRUPO</t>
        </is>
      </c>
    </row>
    <row r="43">
      <c r="A43" s="7" t="inlineStr">
        <is>
          <t>GRUPO</t>
        </is>
      </c>
      <c r="B43" s="7" t="inlineStr"/>
      <c r="C43" s="7" t="inlineStr">
        <is>
          <t>PRESUPUESTO</t>
        </is>
      </c>
      <c r="D43" s="7" t="inlineStr">
        <is>
          <t>REAL</t>
        </is>
      </c>
      <c r="E43" s="7" t="inlineStr">
        <is>
          <t>DIFERENCIA</t>
        </is>
      </c>
      <c r="F43" s="7" t="inlineStr">
        <is>
          <t>% USADO</t>
        </is>
      </c>
    </row>
    <row r="44">
      <c r="A44" s="23" t="inlineStr">
        <is>
          <t>CUENTAS PERSONALES</t>
        </is>
      </c>
      <c r="B44" s="23" t="n"/>
      <c r="C44" s="8">
        <f>SUMIFS($C$17:$C$39,$A$17:$A$39,$A44)</f>
        <v/>
      </c>
      <c r="D44" s="8">
        <f>SUMIFS($D$17:$D$39,$A$17:$A$39,$A44)</f>
        <v/>
      </c>
      <c r="E44" s="8">
        <f>C44-D44</f>
        <v/>
      </c>
      <c r="F44" s="9">
        <f>IFERROR(D44/C44,"")</f>
        <v/>
      </c>
    </row>
    <row r="45">
      <c r="A45" s="23" t="inlineStr">
        <is>
          <t>HIJOS</t>
        </is>
      </c>
      <c r="B45" s="23" t="n"/>
      <c r="C45" s="8">
        <f>SUMIFS($C$17:$C$39,$A$17:$A$39,$A45)</f>
        <v/>
      </c>
      <c r="D45" s="8">
        <f>SUMIFS($D$17:$D$39,$A$17:$A$39,$A45)</f>
        <v/>
      </c>
      <c r="E45" s="8">
        <f>C45-D45</f>
        <v/>
      </c>
      <c r="F45" s="9">
        <f>IFERROR(D45/C45,"")</f>
        <v/>
      </c>
    </row>
    <row r="46">
      <c r="A46" s="23" t="inlineStr">
        <is>
          <t>CASA</t>
        </is>
      </c>
      <c r="B46" s="23" t="n"/>
      <c r="C46" s="8">
        <f>SUMIFS($C$17:$C$39,$A$17:$A$39,$A46)</f>
        <v/>
      </c>
      <c r="D46" s="8">
        <f>SUMIFS($D$17:$D$39,$A$17:$A$39,$A46)</f>
        <v/>
      </c>
      <c r="E46" s="8">
        <f>C46-D46</f>
        <v/>
      </c>
      <c r="F46" s="9">
        <f>IFERROR(D46/C46,"")</f>
        <v/>
      </c>
    </row>
    <row r="47">
      <c r="A47" s="23" t="inlineStr">
        <is>
          <t>SALUD</t>
        </is>
      </c>
      <c r="B47" s="23" t="n"/>
      <c r="C47" s="8">
        <f>SUMIFS($C$17:$C$39,$A$17:$A$39,$A47)</f>
        <v/>
      </c>
      <c r="D47" s="8">
        <f>SUMIFS($D$17:$D$39,$A$17:$A$39,$A47)</f>
        <v/>
      </c>
      <c r="E47" s="8">
        <f>C47-D47</f>
        <v/>
      </c>
      <c r="F47" s="9">
        <f>IFERROR(D47/C47,"")</f>
        <v/>
      </c>
    </row>
    <row r="48">
      <c r="A48" s="23" t="inlineStr">
        <is>
          <t>AUTO</t>
        </is>
      </c>
      <c r="B48" s="23" t="n"/>
      <c r="C48" s="8">
        <f>SUMIFS($C$17:$C$39,$A$17:$A$39,$A48)</f>
        <v/>
      </c>
      <c r="D48" s="8">
        <f>SUMIFS($D$17:$D$39,$A$17:$A$39,$A48)</f>
        <v/>
      </c>
      <c r="E48" s="8">
        <f>C48-D48</f>
        <v/>
      </c>
      <c r="F48" s="9">
        <f>IFERROR(D48/C48,"")</f>
        <v/>
      </c>
    </row>
    <row r="49">
      <c r="A49" s="23" t="inlineStr">
        <is>
          <t>DIVERSION</t>
        </is>
      </c>
      <c r="B49" s="23" t="n"/>
      <c r="C49" s="8">
        <f>SUMIFS($C$17:$C$39,$A$17:$A$39,$A49)</f>
        <v/>
      </c>
      <c r="D49" s="8">
        <f>SUMIFS($D$17:$D$39,$A$17:$A$39,$A49)</f>
        <v/>
      </c>
      <c r="E49" s="8">
        <f>C49-D49</f>
        <v/>
      </c>
      <c r="F49" s="9">
        <f>IFERROR(D49/C49,"")</f>
        <v/>
      </c>
    </row>
    <row r="50">
      <c r="A50" s="23" t="inlineStr">
        <is>
          <t>OTROS</t>
        </is>
      </c>
      <c r="B50" s="23" t="n"/>
      <c r="C50" s="8">
        <f>SUMIFS($C$17:$C$39,$A$17:$A$39,$A50)</f>
        <v/>
      </c>
      <c r="D50" s="8">
        <f>SUMIFS($D$17:$D$39,$A$17:$A$39,$A50)</f>
        <v/>
      </c>
      <c r="E50" s="8">
        <f>C50-D50</f>
        <v/>
      </c>
      <c r="F50" s="9">
        <f>IFERROR(D50/C50,"")</f>
        <v/>
      </c>
    </row>
    <row r="52">
      <c r="A52" s="2" t="inlineStr">
        <is>
          <t>SALDO DEL MES</t>
        </is>
      </c>
    </row>
    <row r="53">
      <c r="A53" s="10" t="n"/>
      <c r="B53" s="10" t="inlineStr">
        <is>
          <t>Ingresos menos egresos</t>
        </is>
      </c>
      <c r="C53" s="11">
        <f>C13-C40</f>
        <v/>
      </c>
      <c r="D53" s="11">
        <f>D13-D40</f>
        <v/>
      </c>
      <c r="E53" s="10" t="n"/>
      <c r="F53" s="10" t="n"/>
    </row>
    <row r="54">
      <c r="A54" s="23" t="n"/>
      <c r="B54" s="23" t="inlineStr">
        <is>
          <t>Solo gasto</t>
        </is>
      </c>
      <c r="C54" s="8">
        <f>SUMIFS(CATEGORIAS!$E:$E,CATEGORIAS!$D:$D,"GASTO")</f>
        <v/>
      </c>
      <c r="D54" s="8">
        <f>SUMIFS(MOVIMIENTOS!$F:$F,MOVIMIENTOS!$A:$A,"&gt;="&amp;DATE(PORTADA!$B$2,12,1),MOVIMIENTOS!$A:$A,"&lt;="&amp;EOMONTH(DATE(PORTADA!$B$2,12,1),0),MOVIMIENTOS!$E:$E,"GASTO")</f>
        <v/>
      </c>
      <c r="E54" s="6" t="n"/>
      <c r="F54" s="6" t="n"/>
    </row>
    <row r="55">
      <c r="A55" s="23" t="n"/>
      <c r="B55" s="23" t="inlineStr">
        <is>
          <t>Ahorro</t>
        </is>
      </c>
      <c r="C55" s="8">
        <f>SUMIFS(CATEGORIAS!$E:$E,CATEGORIAS!$D:$D,"AHORRO")</f>
        <v/>
      </c>
      <c r="D55" s="8">
        <f>SUMIFS(MOVIMIENTOS!$F:$F,MOVIMIENTOS!$A:$A,"&gt;="&amp;DATE(PORTADA!$B$2,12,1),MOVIMIENTOS!$A:$A,"&lt;="&amp;EOMONTH(DATE(PORTADA!$B$2,12,1),0),MOVIMIENTOS!$E:$E,"AHORRO")</f>
        <v/>
      </c>
      <c r="E55" s="6" t="n"/>
      <c r="F55" s="6" t="n"/>
    </row>
    <row r="56">
      <c r="A56" s="23" t="n"/>
      <c r="B56" s="23" t="inlineStr">
        <is>
          <t>Deuda</t>
        </is>
      </c>
      <c r="C56" s="8">
        <f>SUMIFS(CATEGORIAS!$E:$E,CATEGORIAS!$D:$D,"DEUDA")</f>
        <v/>
      </c>
      <c r="D56" s="8">
        <f>SUMIFS(MOVIMIENTOS!$F:$F,MOVIMIENTOS!$A:$A,"&gt;="&amp;DATE(PORTADA!$B$2,12,1),MOVIMIENTOS!$A:$A,"&lt;="&amp;EOMONTH(DATE(PORTADA!$B$2,12,1),0),MOVIMIENTOS!$E:$E,"DEUDA")</f>
        <v/>
      </c>
      <c r="E56" s="6" t="n"/>
      <c r="F56" s="6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4" customWidth="1" min="4" max="4"/>
    <col width="14" customWidth="1" min="5" max="5"/>
    <col width="22" customWidth="1" min="6" max="6"/>
  </cols>
  <sheetData>
    <row r="1" ht="30" customHeight="1">
      <c r="A1" s="1" t="inlineStr">
        <is>
          <t>APRENDIZAJE  ·  qué comercio va en qué categoría</t>
        </is>
      </c>
    </row>
    <row r="2">
      <c r="A2" s="4" t="inlineStr">
        <is>
          <t>La app escribe acá cuando le enseñas dónde va una compra nueva. Puedes corregir la categoría de una fila: la app toma el cambio.</t>
        </is>
      </c>
    </row>
    <row r="3">
      <c r="A3" s="7" t="inlineStr">
        <is>
          <t>PALABRA O COMERCIO</t>
        </is>
      </c>
      <c r="B3" s="7" t="inlineStr">
        <is>
          <t>CATEGORÍA</t>
        </is>
      </c>
      <c r="C3" s="7" t="inlineStr">
        <is>
          <t>VECES</t>
        </is>
      </c>
      <c r="D3" s="7" t="inlineStr">
        <is>
          <t>PRIMERA VEZ</t>
        </is>
      </c>
      <c r="E3" s="7" t="inlineStr">
        <is>
          <t>ÚLTIMA VEZ</t>
        </is>
      </c>
      <c r="F3" s="7" t="inlineStr">
        <is>
          <t>DE DÓNDE SALIÓ</t>
        </is>
      </c>
    </row>
    <row r="4">
      <c r="A4" s="5" t="n"/>
      <c r="B4" s="5" t="n"/>
      <c r="C4" s="6" t="n"/>
      <c r="D4" s="24" t="n"/>
      <c r="E4" s="24" t="n"/>
      <c r="F4" s="6" t="n"/>
    </row>
    <row r="5">
      <c r="A5" s="5" t="n"/>
      <c r="B5" s="5" t="n"/>
      <c r="C5" s="6" t="n"/>
      <c r="D5" s="24" t="n"/>
      <c r="E5" s="24" t="n"/>
      <c r="F5" s="6" t="n"/>
    </row>
    <row r="6">
      <c r="A6" s="5" t="n"/>
      <c r="B6" s="5" t="n"/>
      <c r="C6" s="6" t="n"/>
      <c r="D6" s="24" t="n"/>
      <c r="E6" s="24" t="n"/>
      <c r="F6" s="6" t="n"/>
    </row>
    <row r="7">
      <c r="A7" s="5" t="n"/>
      <c r="B7" s="5" t="n"/>
      <c r="C7" s="6" t="n"/>
      <c r="D7" s="24" t="n"/>
      <c r="E7" s="24" t="n"/>
      <c r="F7" s="6" t="n"/>
    </row>
    <row r="8">
      <c r="A8" s="5" t="n"/>
      <c r="B8" s="5" t="n"/>
      <c r="C8" s="6" t="n"/>
      <c r="D8" s="24" t="n"/>
      <c r="E8" s="24" t="n"/>
      <c r="F8" s="6" t="n"/>
    </row>
    <row r="9">
      <c r="A9" s="5" t="n"/>
      <c r="B9" s="5" t="n"/>
      <c r="C9" s="6" t="n"/>
      <c r="D9" s="24" t="n"/>
      <c r="E9" s="24" t="n"/>
      <c r="F9" s="6" t="n"/>
    </row>
    <row r="10">
      <c r="A10" s="5" t="n"/>
      <c r="B10" s="5" t="n"/>
      <c r="C10" s="6" t="n"/>
      <c r="D10" s="24" t="n"/>
      <c r="E10" s="24" t="n"/>
      <c r="F10" s="6" t="n"/>
    </row>
    <row r="11">
      <c r="A11" s="5" t="n"/>
      <c r="B11" s="5" t="n"/>
      <c r="C11" s="6" t="n"/>
      <c r="D11" s="24" t="n"/>
      <c r="E11" s="24" t="n"/>
      <c r="F11" s="6" t="n"/>
    </row>
    <row r="12">
      <c r="A12" s="5" t="n"/>
      <c r="B12" s="5" t="n"/>
      <c r="C12" s="6" t="n"/>
      <c r="D12" s="24" t="n"/>
      <c r="E12" s="24" t="n"/>
      <c r="F12" s="6" t="n"/>
    </row>
    <row r="13">
      <c r="A13" s="5" t="n"/>
      <c r="B13" s="5" t="n"/>
      <c r="C13" s="6" t="n"/>
      <c r="D13" s="24" t="n"/>
      <c r="E13" s="24" t="n"/>
      <c r="F13" s="6" t="n"/>
    </row>
    <row r="14">
      <c r="A14" s="5" t="n"/>
      <c r="B14" s="5" t="n"/>
      <c r="C14" s="6" t="n"/>
      <c r="D14" s="24" t="n"/>
      <c r="E14" s="24" t="n"/>
      <c r="F14" s="6" t="n"/>
    </row>
    <row r="15">
      <c r="A15" s="5" t="n"/>
      <c r="B15" s="5" t="n"/>
      <c r="C15" s="6" t="n"/>
      <c r="D15" s="24" t="n"/>
      <c r="E15" s="24" t="n"/>
      <c r="F15" s="6" t="n"/>
    </row>
    <row r="16">
      <c r="A16" s="5" t="n"/>
      <c r="B16" s="5" t="n"/>
      <c r="C16" s="6" t="n"/>
      <c r="D16" s="24" t="n"/>
      <c r="E16" s="24" t="n"/>
      <c r="F16" s="6" t="n"/>
    </row>
    <row r="17">
      <c r="A17" s="5" t="n"/>
      <c r="B17" s="5" t="n"/>
      <c r="C17" s="6" t="n"/>
      <c r="D17" s="24" t="n"/>
      <c r="E17" s="24" t="n"/>
      <c r="F17" s="6" t="n"/>
    </row>
    <row r="18">
      <c r="A18" s="5" t="n"/>
      <c r="B18" s="5" t="n"/>
      <c r="C18" s="6" t="n"/>
      <c r="D18" s="24" t="n"/>
      <c r="E18" s="24" t="n"/>
      <c r="F18" s="6" t="n"/>
    </row>
    <row r="19">
      <c r="A19" s="5" t="n"/>
      <c r="B19" s="5" t="n"/>
      <c r="C19" s="6" t="n"/>
      <c r="D19" s="24" t="n"/>
      <c r="E19" s="24" t="n"/>
      <c r="F19" s="6" t="n"/>
    </row>
    <row r="20">
      <c r="A20" s="5" t="n"/>
      <c r="B20" s="5" t="n"/>
      <c r="C20" s="6" t="n"/>
      <c r="D20" s="24" t="n"/>
      <c r="E20" s="24" t="n"/>
      <c r="F20" s="6" t="n"/>
    </row>
    <row r="21">
      <c r="A21" s="5" t="n"/>
      <c r="B21" s="5" t="n"/>
      <c r="C21" s="6" t="n"/>
      <c r="D21" s="24" t="n"/>
      <c r="E21" s="24" t="n"/>
      <c r="F21" s="6" t="n"/>
    </row>
    <row r="22">
      <c r="A22" s="5" t="n"/>
      <c r="B22" s="5" t="n"/>
      <c r="C22" s="6" t="n"/>
      <c r="D22" s="24" t="n"/>
      <c r="E22" s="24" t="n"/>
      <c r="F22" s="6" t="n"/>
    </row>
    <row r="23">
      <c r="A23" s="5" t="n"/>
      <c r="B23" s="5" t="n"/>
      <c r="C23" s="6" t="n"/>
      <c r="D23" s="24" t="n"/>
      <c r="E23" s="24" t="n"/>
      <c r="F23" s="6" t="n"/>
    </row>
    <row r="24">
      <c r="A24" s="5" t="n"/>
      <c r="B24" s="5" t="n"/>
      <c r="C24" s="6" t="n"/>
      <c r="D24" s="24" t="n"/>
      <c r="E24" s="24" t="n"/>
      <c r="F24" s="6" t="n"/>
    </row>
    <row r="25">
      <c r="A25" s="5" t="n"/>
      <c r="B25" s="5" t="n"/>
      <c r="C25" s="6" t="n"/>
      <c r="D25" s="24" t="n"/>
      <c r="E25" s="24" t="n"/>
      <c r="F25" s="6" t="n"/>
    </row>
    <row r="26">
      <c r="A26" s="5" t="n"/>
      <c r="B26" s="5" t="n"/>
      <c r="C26" s="6" t="n"/>
      <c r="D26" s="24" t="n"/>
      <c r="E26" s="24" t="n"/>
      <c r="F26" s="6" t="n"/>
    </row>
    <row r="27">
      <c r="A27" s="5" t="n"/>
      <c r="B27" s="5" t="n"/>
      <c r="C27" s="6" t="n"/>
      <c r="D27" s="24" t="n"/>
      <c r="E27" s="24" t="n"/>
      <c r="F27" s="6" t="n"/>
    </row>
    <row r="28">
      <c r="A28" s="5" t="n"/>
      <c r="B28" s="5" t="n"/>
      <c r="C28" s="6" t="n"/>
      <c r="D28" s="24" t="n"/>
      <c r="E28" s="24" t="n"/>
      <c r="F28" s="6" t="n"/>
    </row>
    <row r="29">
      <c r="A29" s="5" t="n"/>
      <c r="B29" s="5" t="n"/>
      <c r="C29" s="6" t="n"/>
      <c r="D29" s="24" t="n"/>
      <c r="E29" s="24" t="n"/>
      <c r="F29" s="6" t="n"/>
    </row>
    <row r="30">
      <c r="A30" s="5" t="n"/>
      <c r="B30" s="5" t="n"/>
      <c r="C30" s="6" t="n"/>
      <c r="D30" s="24" t="n"/>
      <c r="E30" s="24" t="n"/>
      <c r="F30" s="6" t="n"/>
    </row>
    <row r="31">
      <c r="A31" s="5" t="n"/>
      <c r="B31" s="5" t="n"/>
      <c r="C31" s="6" t="n"/>
      <c r="D31" s="24" t="n"/>
      <c r="E31" s="24" t="n"/>
      <c r="F31" s="6" t="n"/>
    </row>
    <row r="32">
      <c r="A32" s="5" t="n"/>
      <c r="B32" s="5" t="n"/>
      <c r="C32" s="6" t="n"/>
      <c r="D32" s="24" t="n"/>
      <c r="E32" s="24" t="n"/>
      <c r="F32" s="6" t="n"/>
    </row>
    <row r="33">
      <c r="A33" s="5" t="n"/>
      <c r="B33" s="5" t="n"/>
      <c r="C33" s="6" t="n"/>
      <c r="D33" s="24" t="n"/>
      <c r="E33" s="24" t="n"/>
      <c r="F33" s="6" t="n"/>
    </row>
    <row r="34">
      <c r="A34" s="5" t="n"/>
      <c r="B34" s="5" t="n"/>
      <c r="C34" s="6" t="n"/>
      <c r="D34" s="24" t="n"/>
      <c r="E34" s="24" t="n"/>
      <c r="F34" s="6" t="n"/>
    </row>
    <row r="35">
      <c r="A35" s="5" t="n"/>
      <c r="B35" s="5" t="n"/>
      <c r="C35" s="6" t="n"/>
      <c r="D35" s="24" t="n"/>
      <c r="E35" s="24" t="n"/>
      <c r="F35" s="6" t="n"/>
    </row>
    <row r="36">
      <c r="A36" s="5" t="n"/>
      <c r="B36" s="5" t="n"/>
      <c r="C36" s="6" t="n"/>
      <c r="D36" s="24" t="n"/>
      <c r="E36" s="24" t="n"/>
      <c r="F36" s="6" t="n"/>
    </row>
    <row r="37">
      <c r="A37" s="5" t="n"/>
      <c r="B37" s="5" t="n"/>
      <c r="C37" s="6" t="n"/>
      <c r="D37" s="24" t="n"/>
      <c r="E37" s="24" t="n"/>
      <c r="F37" s="6" t="n"/>
    </row>
    <row r="38">
      <c r="A38" s="5" t="n"/>
      <c r="B38" s="5" t="n"/>
      <c r="C38" s="6" t="n"/>
      <c r="D38" s="24" t="n"/>
      <c r="E38" s="24" t="n"/>
      <c r="F38" s="6" t="n"/>
    </row>
    <row r="39">
      <c r="A39" s="5" t="n"/>
      <c r="B39" s="5" t="n"/>
      <c r="C39" s="6" t="n"/>
      <c r="D39" s="24" t="n"/>
      <c r="E39" s="24" t="n"/>
      <c r="F39" s="6" t="n"/>
    </row>
    <row r="40">
      <c r="A40" s="5" t="n"/>
      <c r="B40" s="5" t="n"/>
      <c r="C40" s="6" t="n"/>
      <c r="D40" s="24" t="n"/>
      <c r="E40" s="24" t="n"/>
      <c r="F40" s="6" t="n"/>
    </row>
    <row r="41">
      <c r="A41" s="5" t="n"/>
      <c r="B41" s="5" t="n"/>
      <c r="C41" s="6" t="n"/>
      <c r="D41" s="24" t="n"/>
      <c r="E41" s="24" t="n"/>
      <c r="F41" s="6" t="n"/>
    </row>
    <row r="42">
      <c r="A42" s="5" t="n"/>
      <c r="B42" s="5" t="n"/>
      <c r="C42" s="6" t="n"/>
      <c r="D42" s="24" t="n"/>
      <c r="E42" s="24" t="n"/>
      <c r="F42" s="6" t="n"/>
    </row>
    <row r="43">
      <c r="A43" s="5" t="n"/>
      <c r="B43" s="5" t="n"/>
      <c r="C43" s="6" t="n"/>
      <c r="D43" s="24" t="n"/>
      <c r="E43" s="24" t="n"/>
      <c r="F43" s="6" t="n"/>
    </row>
    <row r="44">
      <c r="A44" s="5" t="n"/>
      <c r="B44" s="5" t="n"/>
      <c r="C44" s="6" t="n"/>
      <c r="D44" s="24" t="n"/>
      <c r="E44" s="24" t="n"/>
      <c r="F44" s="6" t="n"/>
    </row>
    <row r="45">
      <c r="A45" s="5" t="n"/>
      <c r="B45" s="5" t="n"/>
      <c r="C45" s="6" t="n"/>
      <c r="D45" s="24" t="n"/>
      <c r="E45" s="24" t="n"/>
      <c r="F45" s="6" t="n"/>
    </row>
    <row r="46">
      <c r="A46" s="5" t="n"/>
      <c r="B46" s="5" t="n"/>
      <c r="C46" s="6" t="n"/>
      <c r="D46" s="24" t="n"/>
      <c r="E46" s="24" t="n"/>
      <c r="F46" s="6" t="n"/>
    </row>
    <row r="47">
      <c r="A47" s="5" t="n"/>
      <c r="B47" s="5" t="n"/>
      <c r="C47" s="6" t="n"/>
      <c r="D47" s="24" t="n"/>
      <c r="E47" s="24" t="n"/>
      <c r="F47" s="6" t="n"/>
    </row>
    <row r="48">
      <c r="A48" s="5" t="n"/>
      <c r="B48" s="5" t="n"/>
      <c r="C48" s="6" t="n"/>
      <c r="D48" s="24" t="n"/>
      <c r="E48" s="24" t="n"/>
      <c r="F48" s="6" t="n"/>
    </row>
    <row r="49">
      <c r="A49" s="5" t="n"/>
      <c r="B49" s="5" t="n"/>
      <c r="C49" s="6" t="n"/>
      <c r="D49" s="24" t="n"/>
      <c r="E49" s="24" t="n"/>
      <c r="F49" s="6" t="n"/>
    </row>
    <row r="50">
      <c r="A50" s="5" t="n"/>
      <c r="B50" s="5" t="n"/>
      <c r="C50" s="6" t="n"/>
      <c r="D50" s="24" t="n"/>
      <c r="E50" s="24" t="n"/>
      <c r="F50" s="6" t="n"/>
    </row>
    <row r="51">
      <c r="A51" s="5" t="n"/>
      <c r="B51" s="5" t="n"/>
      <c r="C51" s="6" t="n"/>
      <c r="D51" s="24" t="n"/>
      <c r="E51" s="24" t="n"/>
      <c r="F51" s="6" t="n"/>
    </row>
    <row r="52">
      <c r="A52" s="5" t="n"/>
      <c r="B52" s="5" t="n"/>
      <c r="C52" s="6" t="n"/>
      <c r="D52" s="24" t="n"/>
      <c r="E52" s="24" t="n"/>
      <c r="F52" s="6" t="n"/>
    </row>
    <row r="53">
      <c r="A53" s="5" t="n"/>
      <c r="B53" s="5" t="n"/>
      <c r="C53" s="6" t="n"/>
      <c r="D53" s="24" t="n"/>
      <c r="E53" s="24" t="n"/>
      <c r="F53" s="6" t="n"/>
    </row>
    <row r="54">
      <c r="A54" s="5" t="n"/>
      <c r="B54" s="5" t="n"/>
      <c r="C54" s="6" t="n"/>
      <c r="D54" s="24" t="n"/>
      <c r="E54" s="24" t="n"/>
      <c r="F54" s="6" t="n"/>
    </row>
    <row r="55">
      <c r="A55" s="5" t="n"/>
      <c r="B55" s="5" t="n"/>
      <c r="C55" s="6" t="n"/>
      <c r="D55" s="24" t="n"/>
      <c r="E55" s="24" t="n"/>
      <c r="F55" s="6" t="n"/>
    </row>
    <row r="56">
      <c r="A56" s="5" t="n"/>
      <c r="B56" s="5" t="n"/>
      <c r="C56" s="6" t="n"/>
      <c r="D56" s="24" t="n"/>
      <c r="E56" s="24" t="n"/>
      <c r="F56" s="6" t="n"/>
    </row>
    <row r="57">
      <c r="A57" s="5" t="n"/>
      <c r="B57" s="5" t="n"/>
      <c r="C57" s="6" t="n"/>
      <c r="D57" s="24" t="n"/>
      <c r="E57" s="24" t="n"/>
      <c r="F57" s="6" t="n"/>
    </row>
    <row r="58">
      <c r="A58" s="5" t="n"/>
      <c r="B58" s="5" t="n"/>
      <c r="C58" s="6" t="n"/>
      <c r="D58" s="24" t="n"/>
      <c r="E58" s="24" t="n"/>
      <c r="F58" s="6" t="n"/>
    </row>
    <row r="59">
      <c r="A59" s="5" t="n"/>
      <c r="B59" s="5" t="n"/>
      <c r="C59" s="6" t="n"/>
      <c r="D59" s="24" t="n"/>
      <c r="E59" s="24" t="n"/>
      <c r="F59" s="6" t="n"/>
    </row>
    <row r="60">
      <c r="A60" s="5" t="n"/>
      <c r="B60" s="5" t="n"/>
      <c r="C60" s="6" t="n"/>
      <c r="D60" s="24" t="n"/>
      <c r="E60" s="24" t="n"/>
      <c r="F60" s="6" t="n"/>
    </row>
    <row r="61">
      <c r="A61" s="5" t="n"/>
      <c r="B61" s="5" t="n"/>
      <c r="C61" s="6" t="n"/>
      <c r="D61" s="24" t="n"/>
      <c r="E61" s="24" t="n"/>
      <c r="F61" s="6" t="n"/>
    </row>
    <row r="62">
      <c r="A62" s="5" t="n"/>
      <c r="B62" s="5" t="n"/>
      <c r="C62" s="6" t="n"/>
      <c r="D62" s="24" t="n"/>
      <c r="E62" s="24" t="n"/>
      <c r="F62" s="6" t="n"/>
    </row>
    <row r="63">
      <c r="A63" s="5" t="n"/>
      <c r="B63" s="5" t="n"/>
      <c r="C63" s="6" t="n"/>
      <c r="D63" s="24" t="n"/>
      <c r="E63" s="24" t="n"/>
      <c r="F63" s="6" t="n"/>
    </row>
    <row r="64">
      <c r="A64" s="5" t="n"/>
      <c r="B64" s="5" t="n"/>
      <c r="C64" s="6" t="n"/>
      <c r="D64" s="24" t="n"/>
      <c r="E64" s="24" t="n"/>
      <c r="F64" s="6" t="n"/>
    </row>
    <row r="65">
      <c r="A65" s="5" t="n"/>
      <c r="B65" s="5" t="n"/>
      <c r="C65" s="6" t="n"/>
      <c r="D65" s="24" t="n"/>
      <c r="E65" s="24" t="n"/>
      <c r="F65" s="6" t="n"/>
    </row>
    <row r="66">
      <c r="A66" s="5" t="n"/>
      <c r="B66" s="5" t="n"/>
      <c r="C66" s="6" t="n"/>
      <c r="D66" s="24" t="n"/>
      <c r="E66" s="24" t="n"/>
      <c r="F66" s="6" t="n"/>
    </row>
    <row r="67">
      <c r="A67" s="5" t="n"/>
      <c r="B67" s="5" t="n"/>
      <c r="C67" s="6" t="n"/>
      <c r="D67" s="24" t="n"/>
      <c r="E67" s="24" t="n"/>
      <c r="F67" s="6" t="n"/>
    </row>
    <row r="68">
      <c r="A68" s="5" t="n"/>
      <c r="B68" s="5" t="n"/>
      <c r="C68" s="6" t="n"/>
      <c r="D68" s="24" t="n"/>
      <c r="E68" s="24" t="n"/>
      <c r="F68" s="6" t="n"/>
    </row>
    <row r="69">
      <c r="A69" s="5" t="n"/>
      <c r="B69" s="5" t="n"/>
      <c r="C69" s="6" t="n"/>
      <c r="D69" s="24" t="n"/>
      <c r="E69" s="24" t="n"/>
      <c r="F69" s="6" t="n"/>
    </row>
    <row r="70">
      <c r="A70" s="5" t="n"/>
      <c r="B70" s="5" t="n"/>
      <c r="C70" s="6" t="n"/>
      <c r="D70" s="24" t="n"/>
      <c r="E70" s="24" t="n"/>
      <c r="F70" s="6" t="n"/>
    </row>
    <row r="71">
      <c r="A71" s="5" t="n"/>
      <c r="B71" s="5" t="n"/>
      <c r="C71" s="6" t="n"/>
      <c r="D71" s="24" t="n"/>
      <c r="E71" s="24" t="n"/>
      <c r="F71" s="6" t="n"/>
    </row>
    <row r="72">
      <c r="A72" s="5" t="n"/>
      <c r="B72" s="5" t="n"/>
      <c r="C72" s="6" t="n"/>
      <c r="D72" s="24" t="n"/>
      <c r="E72" s="24" t="n"/>
      <c r="F72" s="6" t="n"/>
    </row>
    <row r="73">
      <c r="A73" s="5" t="n"/>
      <c r="B73" s="5" t="n"/>
      <c r="C73" s="6" t="n"/>
      <c r="D73" s="24" t="n"/>
      <c r="E73" s="24" t="n"/>
      <c r="F73" s="6" t="n"/>
    </row>
    <row r="74">
      <c r="A74" s="5" t="n"/>
      <c r="B74" s="5" t="n"/>
      <c r="C74" s="6" t="n"/>
      <c r="D74" s="24" t="n"/>
      <c r="E74" s="24" t="n"/>
      <c r="F74" s="6" t="n"/>
    </row>
    <row r="75">
      <c r="A75" s="5" t="n"/>
      <c r="B75" s="5" t="n"/>
      <c r="C75" s="6" t="n"/>
      <c r="D75" s="24" t="n"/>
      <c r="E75" s="24" t="n"/>
      <c r="F75" s="6" t="n"/>
    </row>
    <row r="76">
      <c r="A76" s="5" t="n"/>
      <c r="B76" s="5" t="n"/>
      <c r="C76" s="6" t="n"/>
      <c r="D76" s="24" t="n"/>
      <c r="E76" s="24" t="n"/>
      <c r="F76" s="6" t="n"/>
    </row>
    <row r="77">
      <c r="A77" s="5" t="n"/>
      <c r="B77" s="5" t="n"/>
      <c r="C77" s="6" t="n"/>
      <c r="D77" s="24" t="n"/>
      <c r="E77" s="24" t="n"/>
      <c r="F77" s="6" t="n"/>
    </row>
    <row r="78">
      <c r="A78" s="5" t="n"/>
      <c r="B78" s="5" t="n"/>
      <c r="C78" s="6" t="n"/>
      <c r="D78" s="24" t="n"/>
      <c r="E78" s="24" t="n"/>
      <c r="F78" s="6" t="n"/>
    </row>
    <row r="79">
      <c r="A79" s="5" t="n"/>
      <c r="B79" s="5" t="n"/>
      <c r="C79" s="6" t="n"/>
      <c r="D79" s="24" t="n"/>
      <c r="E79" s="24" t="n"/>
      <c r="F79" s="6" t="n"/>
    </row>
    <row r="80">
      <c r="A80" s="5" t="n"/>
      <c r="B80" s="5" t="n"/>
      <c r="C80" s="6" t="n"/>
      <c r="D80" s="24" t="n"/>
      <c r="E80" s="24" t="n"/>
      <c r="F80" s="6" t="n"/>
    </row>
    <row r="81">
      <c r="A81" s="5" t="n"/>
      <c r="B81" s="5" t="n"/>
      <c r="C81" s="6" t="n"/>
      <c r="D81" s="24" t="n"/>
      <c r="E81" s="24" t="n"/>
      <c r="F81" s="6" t="n"/>
    </row>
    <row r="82">
      <c r="A82" s="5" t="n"/>
      <c r="B82" s="5" t="n"/>
      <c r="C82" s="6" t="n"/>
      <c r="D82" s="24" t="n"/>
      <c r="E82" s="24" t="n"/>
      <c r="F82" s="6" t="n"/>
    </row>
    <row r="83">
      <c r="A83" s="5" t="n"/>
      <c r="B83" s="5" t="n"/>
      <c r="C83" s="6" t="n"/>
      <c r="D83" s="24" t="n"/>
      <c r="E83" s="24" t="n"/>
      <c r="F83" s="6" t="n"/>
    </row>
    <row r="84">
      <c r="A84" s="5" t="n"/>
      <c r="B84" s="5" t="n"/>
      <c r="C84" s="6" t="n"/>
      <c r="D84" s="24" t="n"/>
      <c r="E84" s="24" t="n"/>
      <c r="F84" s="6" t="n"/>
    </row>
    <row r="85">
      <c r="A85" s="5" t="n"/>
      <c r="B85" s="5" t="n"/>
      <c r="C85" s="6" t="n"/>
      <c r="D85" s="24" t="n"/>
      <c r="E85" s="24" t="n"/>
      <c r="F85" s="6" t="n"/>
    </row>
    <row r="86">
      <c r="A86" s="5" t="n"/>
      <c r="B86" s="5" t="n"/>
      <c r="C86" s="6" t="n"/>
      <c r="D86" s="24" t="n"/>
      <c r="E86" s="24" t="n"/>
      <c r="F86" s="6" t="n"/>
    </row>
    <row r="87">
      <c r="A87" s="5" t="n"/>
      <c r="B87" s="5" t="n"/>
      <c r="C87" s="6" t="n"/>
      <c r="D87" s="24" t="n"/>
      <c r="E87" s="24" t="n"/>
      <c r="F87" s="6" t="n"/>
    </row>
    <row r="88">
      <c r="A88" s="5" t="n"/>
      <c r="B88" s="5" t="n"/>
      <c r="C88" s="6" t="n"/>
      <c r="D88" s="24" t="n"/>
      <c r="E88" s="24" t="n"/>
      <c r="F88" s="6" t="n"/>
    </row>
    <row r="89">
      <c r="A89" s="5" t="n"/>
      <c r="B89" s="5" t="n"/>
      <c r="C89" s="6" t="n"/>
      <c r="D89" s="24" t="n"/>
      <c r="E89" s="24" t="n"/>
      <c r="F89" s="6" t="n"/>
    </row>
    <row r="90">
      <c r="A90" s="5" t="n"/>
      <c r="B90" s="5" t="n"/>
      <c r="C90" s="6" t="n"/>
      <c r="D90" s="24" t="n"/>
      <c r="E90" s="24" t="n"/>
      <c r="F90" s="6" t="n"/>
    </row>
    <row r="91">
      <c r="A91" s="5" t="n"/>
      <c r="B91" s="5" t="n"/>
      <c r="C91" s="6" t="n"/>
      <c r="D91" s="24" t="n"/>
      <c r="E91" s="24" t="n"/>
      <c r="F91" s="6" t="n"/>
    </row>
    <row r="92">
      <c r="A92" s="5" t="n"/>
      <c r="B92" s="5" t="n"/>
      <c r="C92" s="6" t="n"/>
      <c r="D92" s="24" t="n"/>
      <c r="E92" s="24" t="n"/>
      <c r="F92" s="6" t="n"/>
    </row>
    <row r="93">
      <c r="A93" s="5" t="n"/>
      <c r="B93" s="5" t="n"/>
      <c r="C93" s="6" t="n"/>
      <c r="D93" s="24" t="n"/>
      <c r="E93" s="24" t="n"/>
      <c r="F93" s="6" t="n"/>
    </row>
    <row r="94">
      <c r="A94" s="5" t="n"/>
      <c r="B94" s="5" t="n"/>
      <c r="C94" s="6" t="n"/>
      <c r="D94" s="24" t="n"/>
      <c r="E94" s="24" t="n"/>
      <c r="F94" s="6" t="n"/>
    </row>
    <row r="95">
      <c r="A95" s="5" t="n"/>
      <c r="B95" s="5" t="n"/>
      <c r="C95" s="6" t="n"/>
      <c r="D95" s="24" t="n"/>
      <c r="E95" s="24" t="n"/>
      <c r="F95" s="6" t="n"/>
    </row>
    <row r="96">
      <c r="A96" s="5" t="n"/>
      <c r="B96" s="5" t="n"/>
      <c r="C96" s="6" t="n"/>
      <c r="D96" s="24" t="n"/>
      <c r="E96" s="24" t="n"/>
      <c r="F96" s="6" t="n"/>
    </row>
    <row r="97">
      <c r="A97" s="5" t="n"/>
      <c r="B97" s="5" t="n"/>
      <c r="C97" s="6" t="n"/>
      <c r="D97" s="24" t="n"/>
      <c r="E97" s="24" t="n"/>
      <c r="F97" s="6" t="n"/>
    </row>
    <row r="98">
      <c r="A98" s="5" t="n"/>
      <c r="B98" s="5" t="n"/>
      <c r="C98" s="6" t="n"/>
      <c r="D98" s="24" t="n"/>
      <c r="E98" s="24" t="n"/>
      <c r="F98" s="6" t="n"/>
    </row>
    <row r="99">
      <c r="A99" s="5" t="n"/>
      <c r="B99" s="5" t="n"/>
      <c r="C99" s="6" t="n"/>
      <c r="D99" s="24" t="n"/>
      <c r="E99" s="24" t="n"/>
      <c r="F99" s="6" t="n"/>
    </row>
    <row r="100">
      <c r="A100" s="5" t="n"/>
      <c r="B100" s="5" t="n"/>
      <c r="C100" s="6" t="n"/>
      <c r="D100" s="24" t="n"/>
      <c r="E100" s="24" t="n"/>
      <c r="F100" s="6" t="n"/>
    </row>
    <row r="101">
      <c r="A101" s="5" t="n"/>
      <c r="B101" s="5" t="n"/>
      <c r="C101" s="6" t="n"/>
      <c r="D101" s="24" t="n"/>
      <c r="E101" s="24" t="n"/>
      <c r="F101" s="6" t="n"/>
    </row>
    <row r="102">
      <c r="A102" s="5" t="n"/>
      <c r="B102" s="5" t="n"/>
      <c r="C102" s="6" t="n"/>
      <c r="D102" s="24" t="n"/>
      <c r="E102" s="24" t="n"/>
      <c r="F102" s="6" t="n"/>
    </row>
    <row r="103">
      <c r="A103" s="5" t="n"/>
      <c r="B103" s="5" t="n"/>
      <c r="C103" s="6" t="n"/>
      <c r="D103" s="24" t="n"/>
      <c r="E103" s="24" t="n"/>
      <c r="F103" s="6" t="n"/>
    </row>
    <row r="104">
      <c r="A104" s="5" t="n"/>
      <c r="B104" s="5" t="n"/>
      <c r="C104" s="6" t="n"/>
      <c r="D104" s="24" t="n"/>
      <c r="E104" s="24" t="n"/>
      <c r="F104" s="6" t="n"/>
    </row>
    <row r="105">
      <c r="A105" s="5" t="n"/>
      <c r="B105" s="5" t="n"/>
      <c r="C105" s="6" t="n"/>
      <c r="D105" s="24" t="n"/>
      <c r="E105" s="24" t="n"/>
      <c r="F105" s="6" t="n"/>
    </row>
    <row r="106">
      <c r="A106" s="5" t="n"/>
      <c r="B106" s="5" t="n"/>
      <c r="C106" s="6" t="n"/>
      <c r="D106" s="24" t="n"/>
      <c r="E106" s="24" t="n"/>
      <c r="F106" s="6" t="n"/>
    </row>
    <row r="107">
      <c r="A107" s="5" t="n"/>
      <c r="B107" s="5" t="n"/>
      <c r="C107" s="6" t="n"/>
      <c r="D107" s="24" t="n"/>
      <c r="E107" s="24" t="n"/>
      <c r="F107" s="6" t="n"/>
    </row>
    <row r="108">
      <c r="A108" s="5" t="n"/>
      <c r="B108" s="5" t="n"/>
      <c r="C108" s="6" t="n"/>
      <c r="D108" s="24" t="n"/>
      <c r="E108" s="24" t="n"/>
      <c r="F108" s="6" t="n"/>
    </row>
    <row r="109">
      <c r="A109" s="5" t="n"/>
      <c r="B109" s="5" t="n"/>
      <c r="C109" s="6" t="n"/>
      <c r="D109" s="24" t="n"/>
      <c r="E109" s="24" t="n"/>
      <c r="F109" s="6" t="n"/>
    </row>
    <row r="110">
      <c r="A110" s="5" t="n"/>
      <c r="B110" s="5" t="n"/>
      <c r="C110" s="6" t="n"/>
      <c r="D110" s="24" t="n"/>
      <c r="E110" s="24" t="n"/>
      <c r="F110" s="6" t="n"/>
    </row>
    <row r="111">
      <c r="A111" s="5" t="n"/>
      <c r="B111" s="5" t="n"/>
      <c r="C111" s="6" t="n"/>
      <c r="D111" s="24" t="n"/>
      <c r="E111" s="24" t="n"/>
      <c r="F111" s="6" t="n"/>
    </row>
    <row r="112">
      <c r="A112" s="5" t="n"/>
      <c r="B112" s="5" t="n"/>
      <c r="C112" s="6" t="n"/>
      <c r="D112" s="24" t="n"/>
      <c r="E112" s="24" t="n"/>
      <c r="F112" s="6" t="n"/>
    </row>
    <row r="113">
      <c r="A113" s="5" t="n"/>
      <c r="B113" s="5" t="n"/>
      <c r="C113" s="6" t="n"/>
      <c r="D113" s="24" t="n"/>
      <c r="E113" s="24" t="n"/>
      <c r="F113" s="6" t="n"/>
    </row>
    <row r="114">
      <c r="A114" s="5" t="n"/>
      <c r="B114" s="5" t="n"/>
      <c r="C114" s="6" t="n"/>
      <c r="D114" s="24" t="n"/>
      <c r="E114" s="24" t="n"/>
      <c r="F114" s="6" t="n"/>
    </row>
    <row r="115">
      <c r="A115" s="5" t="n"/>
      <c r="B115" s="5" t="n"/>
      <c r="C115" s="6" t="n"/>
      <c r="D115" s="24" t="n"/>
      <c r="E115" s="24" t="n"/>
      <c r="F115" s="6" t="n"/>
    </row>
    <row r="116">
      <c r="A116" s="5" t="n"/>
      <c r="B116" s="5" t="n"/>
      <c r="C116" s="6" t="n"/>
      <c r="D116" s="24" t="n"/>
      <c r="E116" s="24" t="n"/>
      <c r="F116" s="6" t="n"/>
    </row>
    <row r="117">
      <c r="A117" s="5" t="n"/>
      <c r="B117" s="5" t="n"/>
      <c r="C117" s="6" t="n"/>
      <c r="D117" s="24" t="n"/>
      <c r="E117" s="24" t="n"/>
      <c r="F117" s="6" t="n"/>
    </row>
    <row r="118">
      <c r="A118" s="5" t="n"/>
      <c r="B118" s="5" t="n"/>
      <c r="C118" s="6" t="n"/>
      <c r="D118" s="24" t="n"/>
      <c r="E118" s="24" t="n"/>
      <c r="F118" s="6" t="n"/>
    </row>
    <row r="119">
      <c r="A119" s="5" t="n"/>
      <c r="B119" s="5" t="n"/>
      <c r="C119" s="6" t="n"/>
      <c r="D119" s="24" t="n"/>
      <c r="E119" s="24" t="n"/>
      <c r="F119" s="6" t="n"/>
    </row>
    <row r="120">
      <c r="A120" s="5" t="n"/>
      <c r="B120" s="5" t="n"/>
      <c r="C120" s="6" t="n"/>
      <c r="D120" s="24" t="n"/>
      <c r="E120" s="24" t="n"/>
      <c r="F120" s="6" t="n"/>
    </row>
    <row r="121">
      <c r="A121" s="5" t="n"/>
      <c r="B121" s="5" t="n"/>
      <c r="C121" s="6" t="n"/>
      <c r="D121" s="24" t="n"/>
      <c r="E121" s="24" t="n"/>
      <c r="F121" s="6" t="n"/>
    </row>
    <row r="122">
      <c r="A122" s="5" t="n"/>
      <c r="B122" s="5" t="n"/>
      <c r="C122" s="6" t="n"/>
      <c r="D122" s="24" t="n"/>
      <c r="E122" s="24" t="n"/>
      <c r="F122" s="6" t="n"/>
    </row>
    <row r="123">
      <c r="A123" s="5" t="n"/>
      <c r="B123" s="5" t="n"/>
      <c r="C123" s="6" t="n"/>
      <c r="D123" s="24" t="n"/>
      <c r="E123" s="24" t="n"/>
      <c r="F123" s="6" t="n"/>
    </row>
    <row r="124">
      <c r="A124" s="5" t="n"/>
      <c r="B124" s="5" t="n"/>
      <c r="C124" s="6" t="n"/>
      <c r="D124" s="24" t="n"/>
      <c r="E124" s="24" t="n"/>
      <c r="F124" s="6" t="n"/>
    </row>
    <row r="125">
      <c r="A125" s="5" t="n"/>
      <c r="B125" s="5" t="n"/>
      <c r="C125" s="6" t="n"/>
      <c r="D125" s="24" t="n"/>
      <c r="E125" s="24" t="n"/>
      <c r="F125" s="6" t="n"/>
    </row>
    <row r="126">
      <c r="A126" s="5" t="n"/>
      <c r="B126" s="5" t="n"/>
      <c r="C126" s="6" t="n"/>
      <c r="D126" s="24" t="n"/>
      <c r="E126" s="24" t="n"/>
      <c r="F126" s="6" t="n"/>
    </row>
    <row r="127">
      <c r="A127" s="5" t="n"/>
      <c r="B127" s="5" t="n"/>
      <c r="C127" s="6" t="n"/>
      <c r="D127" s="24" t="n"/>
      <c r="E127" s="24" t="n"/>
      <c r="F127" s="6" t="n"/>
    </row>
    <row r="128">
      <c r="A128" s="5" t="n"/>
      <c r="B128" s="5" t="n"/>
      <c r="C128" s="6" t="n"/>
      <c r="D128" s="24" t="n"/>
      <c r="E128" s="24" t="n"/>
      <c r="F128" s="6" t="n"/>
    </row>
    <row r="129">
      <c r="A129" s="5" t="n"/>
      <c r="B129" s="5" t="n"/>
      <c r="C129" s="6" t="n"/>
      <c r="D129" s="24" t="n"/>
      <c r="E129" s="24" t="n"/>
      <c r="F129" s="6" t="n"/>
    </row>
    <row r="130">
      <c r="A130" s="5" t="n"/>
      <c r="B130" s="5" t="n"/>
      <c r="C130" s="6" t="n"/>
      <c r="D130" s="24" t="n"/>
      <c r="E130" s="24" t="n"/>
      <c r="F130" s="6" t="n"/>
    </row>
    <row r="131">
      <c r="A131" s="5" t="n"/>
      <c r="B131" s="5" t="n"/>
      <c r="C131" s="6" t="n"/>
      <c r="D131" s="24" t="n"/>
      <c r="E131" s="24" t="n"/>
      <c r="F131" s="6" t="n"/>
    </row>
    <row r="132">
      <c r="A132" s="5" t="n"/>
      <c r="B132" s="5" t="n"/>
      <c r="C132" s="6" t="n"/>
      <c r="D132" s="24" t="n"/>
      <c r="E132" s="24" t="n"/>
      <c r="F132" s="6" t="n"/>
    </row>
    <row r="133">
      <c r="A133" s="5" t="n"/>
      <c r="B133" s="5" t="n"/>
      <c r="C133" s="6" t="n"/>
      <c r="D133" s="24" t="n"/>
      <c r="E133" s="24" t="n"/>
      <c r="F133" s="6" t="n"/>
    </row>
    <row r="134">
      <c r="A134" s="5" t="n"/>
      <c r="B134" s="5" t="n"/>
      <c r="C134" s="6" t="n"/>
      <c r="D134" s="24" t="n"/>
      <c r="E134" s="24" t="n"/>
      <c r="F134" s="6" t="n"/>
    </row>
    <row r="135">
      <c r="A135" s="5" t="n"/>
      <c r="B135" s="5" t="n"/>
      <c r="C135" s="6" t="n"/>
      <c r="D135" s="24" t="n"/>
      <c r="E135" s="24" t="n"/>
      <c r="F135" s="6" t="n"/>
    </row>
    <row r="136">
      <c r="A136" s="5" t="n"/>
      <c r="B136" s="5" t="n"/>
      <c r="C136" s="6" t="n"/>
      <c r="D136" s="24" t="n"/>
      <c r="E136" s="24" t="n"/>
      <c r="F136" s="6" t="n"/>
    </row>
    <row r="137">
      <c r="A137" s="5" t="n"/>
      <c r="B137" s="5" t="n"/>
      <c r="C137" s="6" t="n"/>
      <c r="D137" s="24" t="n"/>
      <c r="E137" s="24" t="n"/>
      <c r="F137" s="6" t="n"/>
    </row>
    <row r="138">
      <c r="A138" s="5" t="n"/>
      <c r="B138" s="5" t="n"/>
      <c r="C138" s="6" t="n"/>
      <c r="D138" s="24" t="n"/>
      <c r="E138" s="24" t="n"/>
      <c r="F138" s="6" t="n"/>
    </row>
    <row r="139">
      <c r="A139" s="5" t="n"/>
      <c r="B139" s="5" t="n"/>
      <c r="C139" s="6" t="n"/>
      <c r="D139" s="24" t="n"/>
      <c r="E139" s="24" t="n"/>
      <c r="F139" s="6" t="n"/>
    </row>
    <row r="140">
      <c r="A140" s="5" t="n"/>
      <c r="B140" s="5" t="n"/>
      <c r="C140" s="6" t="n"/>
      <c r="D140" s="24" t="n"/>
      <c r="E140" s="24" t="n"/>
      <c r="F140" s="6" t="n"/>
    </row>
    <row r="141">
      <c r="A141" s="5" t="n"/>
      <c r="B141" s="5" t="n"/>
      <c r="C141" s="6" t="n"/>
      <c r="D141" s="24" t="n"/>
      <c r="E141" s="24" t="n"/>
      <c r="F141" s="6" t="n"/>
    </row>
    <row r="142">
      <c r="A142" s="5" t="n"/>
      <c r="B142" s="5" t="n"/>
      <c r="C142" s="6" t="n"/>
      <c r="D142" s="24" t="n"/>
      <c r="E142" s="24" t="n"/>
      <c r="F142" s="6" t="n"/>
    </row>
    <row r="143">
      <c r="A143" s="5" t="n"/>
      <c r="B143" s="5" t="n"/>
      <c r="C143" s="6" t="n"/>
      <c r="D143" s="24" t="n"/>
      <c r="E143" s="24" t="n"/>
      <c r="F143" s="6" t="n"/>
    </row>
    <row r="144">
      <c r="A144" s="5" t="n"/>
      <c r="B144" s="5" t="n"/>
      <c r="C144" s="6" t="n"/>
      <c r="D144" s="24" t="n"/>
      <c r="E144" s="24" t="n"/>
      <c r="F144" s="6" t="n"/>
    </row>
    <row r="145">
      <c r="A145" s="5" t="n"/>
      <c r="B145" s="5" t="n"/>
      <c r="C145" s="6" t="n"/>
      <c r="D145" s="24" t="n"/>
      <c r="E145" s="24" t="n"/>
      <c r="F145" s="6" t="n"/>
    </row>
    <row r="146">
      <c r="A146" s="5" t="n"/>
      <c r="B146" s="5" t="n"/>
      <c r="C146" s="6" t="n"/>
      <c r="D146" s="24" t="n"/>
      <c r="E146" s="24" t="n"/>
      <c r="F146" s="6" t="n"/>
    </row>
    <row r="147">
      <c r="A147" s="5" t="n"/>
      <c r="B147" s="5" t="n"/>
      <c r="C147" s="6" t="n"/>
      <c r="D147" s="24" t="n"/>
      <c r="E147" s="24" t="n"/>
      <c r="F147" s="6" t="n"/>
    </row>
    <row r="148">
      <c r="A148" s="5" t="n"/>
      <c r="B148" s="5" t="n"/>
      <c r="C148" s="6" t="n"/>
      <c r="D148" s="24" t="n"/>
      <c r="E148" s="24" t="n"/>
      <c r="F148" s="6" t="n"/>
    </row>
    <row r="149">
      <c r="A149" s="5" t="n"/>
      <c r="B149" s="5" t="n"/>
      <c r="C149" s="6" t="n"/>
      <c r="D149" s="24" t="n"/>
      <c r="E149" s="24" t="n"/>
      <c r="F149" s="6" t="n"/>
    </row>
    <row r="150">
      <c r="A150" s="5" t="n"/>
      <c r="B150" s="5" t="n"/>
      <c r="C150" s="6" t="n"/>
      <c r="D150" s="24" t="n"/>
      <c r="E150" s="24" t="n"/>
      <c r="F150" s="6" t="n"/>
    </row>
    <row r="151">
      <c r="A151" s="5" t="n"/>
      <c r="B151" s="5" t="n"/>
      <c r="C151" s="6" t="n"/>
      <c r="D151" s="24" t="n"/>
      <c r="E151" s="24" t="n"/>
      <c r="F151" s="6" t="n"/>
    </row>
    <row r="152">
      <c r="A152" s="5" t="n"/>
      <c r="B152" s="5" t="n"/>
      <c r="C152" s="6" t="n"/>
      <c r="D152" s="24" t="n"/>
      <c r="E152" s="24" t="n"/>
      <c r="F152" s="6" t="n"/>
    </row>
    <row r="153">
      <c r="A153" s="5" t="n"/>
      <c r="B153" s="5" t="n"/>
      <c r="C153" s="6" t="n"/>
      <c r="D153" s="24" t="n"/>
      <c r="E153" s="24" t="n"/>
      <c r="F153" s="6" t="n"/>
    </row>
    <row r="154">
      <c r="A154" s="5" t="n"/>
      <c r="B154" s="5" t="n"/>
      <c r="C154" s="6" t="n"/>
      <c r="D154" s="24" t="n"/>
      <c r="E154" s="24" t="n"/>
      <c r="F154" s="6" t="n"/>
    </row>
    <row r="155">
      <c r="A155" s="5" t="n"/>
      <c r="B155" s="5" t="n"/>
      <c r="C155" s="6" t="n"/>
      <c r="D155" s="24" t="n"/>
      <c r="E155" s="24" t="n"/>
      <c r="F155" s="6" t="n"/>
    </row>
    <row r="156">
      <c r="A156" s="5" t="n"/>
      <c r="B156" s="5" t="n"/>
      <c r="C156" s="6" t="n"/>
      <c r="D156" s="24" t="n"/>
      <c r="E156" s="24" t="n"/>
      <c r="F156" s="6" t="n"/>
    </row>
    <row r="157">
      <c r="A157" s="5" t="n"/>
      <c r="B157" s="5" t="n"/>
      <c r="C157" s="6" t="n"/>
      <c r="D157" s="24" t="n"/>
      <c r="E157" s="24" t="n"/>
      <c r="F157" s="6" t="n"/>
    </row>
    <row r="158">
      <c r="A158" s="5" t="n"/>
      <c r="B158" s="5" t="n"/>
      <c r="C158" s="6" t="n"/>
      <c r="D158" s="24" t="n"/>
      <c r="E158" s="24" t="n"/>
      <c r="F158" s="6" t="n"/>
    </row>
    <row r="159">
      <c r="A159" s="5" t="n"/>
      <c r="B159" s="5" t="n"/>
      <c r="C159" s="6" t="n"/>
      <c r="D159" s="24" t="n"/>
      <c r="E159" s="24" t="n"/>
      <c r="F159" s="6" t="n"/>
    </row>
    <row r="160">
      <c r="A160" s="5" t="n"/>
      <c r="B160" s="5" t="n"/>
      <c r="C160" s="6" t="n"/>
      <c r="D160" s="24" t="n"/>
      <c r="E160" s="24" t="n"/>
      <c r="F160" s="6" t="n"/>
    </row>
    <row r="161">
      <c r="A161" s="5" t="n"/>
      <c r="B161" s="5" t="n"/>
      <c r="C161" s="6" t="n"/>
      <c r="D161" s="24" t="n"/>
      <c r="E161" s="24" t="n"/>
      <c r="F161" s="6" t="n"/>
    </row>
    <row r="162">
      <c r="A162" s="5" t="n"/>
      <c r="B162" s="5" t="n"/>
      <c r="C162" s="6" t="n"/>
      <c r="D162" s="24" t="n"/>
      <c r="E162" s="24" t="n"/>
      <c r="F162" s="6" t="n"/>
    </row>
    <row r="163">
      <c r="A163" s="5" t="n"/>
      <c r="B163" s="5" t="n"/>
      <c r="C163" s="6" t="n"/>
      <c r="D163" s="24" t="n"/>
      <c r="E163" s="24" t="n"/>
      <c r="F163" s="6" t="n"/>
    </row>
    <row r="164">
      <c r="A164" s="5" t="n"/>
      <c r="B164" s="5" t="n"/>
      <c r="C164" s="6" t="n"/>
      <c r="D164" s="24" t="n"/>
      <c r="E164" s="24" t="n"/>
      <c r="F164" s="6" t="n"/>
    </row>
    <row r="165">
      <c r="A165" s="5" t="n"/>
      <c r="B165" s="5" t="n"/>
      <c r="C165" s="6" t="n"/>
      <c r="D165" s="24" t="n"/>
      <c r="E165" s="24" t="n"/>
      <c r="F165" s="6" t="n"/>
    </row>
    <row r="166">
      <c r="A166" s="5" t="n"/>
      <c r="B166" s="5" t="n"/>
      <c r="C166" s="6" t="n"/>
      <c r="D166" s="24" t="n"/>
      <c r="E166" s="24" t="n"/>
      <c r="F166" s="6" t="n"/>
    </row>
    <row r="167">
      <c r="A167" s="5" t="n"/>
      <c r="B167" s="5" t="n"/>
      <c r="C167" s="6" t="n"/>
      <c r="D167" s="24" t="n"/>
      <c r="E167" s="24" t="n"/>
      <c r="F167" s="6" t="n"/>
    </row>
    <row r="168">
      <c r="A168" s="5" t="n"/>
      <c r="B168" s="5" t="n"/>
      <c r="C168" s="6" t="n"/>
      <c r="D168" s="24" t="n"/>
      <c r="E168" s="24" t="n"/>
      <c r="F168" s="6" t="n"/>
    </row>
    <row r="169">
      <c r="A169" s="5" t="n"/>
      <c r="B169" s="5" t="n"/>
      <c r="C169" s="6" t="n"/>
      <c r="D169" s="24" t="n"/>
      <c r="E169" s="24" t="n"/>
      <c r="F169" s="6" t="n"/>
    </row>
    <row r="170">
      <c r="A170" s="5" t="n"/>
      <c r="B170" s="5" t="n"/>
      <c r="C170" s="6" t="n"/>
      <c r="D170" s="24" t="n"/>
      <c r="E170" s="24" t="n"/>
      <c r="F170" s="6" t="n"/>
    </row>
    <row r="171">
      <c r="A171" s="5" t="n"/>
      <c r="B171" s="5" t="n"/>
      <c r="C171" s="6" t="n"/>
      <c r="D171" s="24" t="n"/>
      <c r="E171" s="24" t="n"/>
      <c r="F171" s="6" t="n"/>
    </row>
    <row r="172">
      <c r="A172" s="5" t="n"/>
      <c r="B172" s="5" t="n"/>
      <c r="C172" s="6" t="n"/>
      <c r="D172" s="24" t="n"/>
      <c r="E172" s="24" t="n"/>
      <c r="F172" s="6" t="n"/>
    </row>
    <row r="173">
      <c r="A173" s="5" t="n"/>
      <c r="B173" s="5" t="n"/>
      <c r="C173" s="6" t="n"/>
      <c r="D173" s="24" t="n"/>
      <c r="E173" s="24" t="n"/>
      <c r="F173" s="6" t="n"/>
    </row>
    <row r="174">
      <c r="A174" s="5" t="n"/>
      <c r="B174" s="5" t="n"/>
      <c r="C174" s="6" t="n"/>
      <c r="D174" s="24" t="n"/>
      <c r="E174" s="24" t="n"/>
      <c r="F174" s="6" t="n"/>
    </row>
    <row r="175">
      <c r="A175" s="5" t="n"/>
      <c r="B175" s="5" t="n"/>
      <c r="C175" s="6" t="n"/>
      <c r="D175" s="24" t="n"/>
      <c r="E175" s="24" t="n"/>
      <c r="F175" s="6" t="n"/>
    </row>
    <row r="176">
      <c r="A176" s="5" t="n"/>
      <c r="B176" s="5" t="n"/>
      <c r="C176" s="6" t="n"/>
      <c r="D176" s="24" t="n"/>
      <c r="E176" s="24" t="n"/>
      <c r="F176" s="6" t="n"/>
    </row>
    <row r="177">
      <c r="A177" s="5" t="n"/>
      <c r="B177" s="5" t="n"/>
      <c r="C177" s="6" t="n"/>
      <c r="D177" s="24" t="n"/>
      <c r="E177" s="24" t="n"/>
      <c r="F177" s="6" t="n"/>
    </row>
    <row r="178">
      <c r="A178" s="5" t="n"/>
      <c r="B178" s="5" t="n"/>
      <c r="C178" s="6" t="n"/>
      <c r="D178" s="24" t="n"/>
      <c r="E178" s="24" t="n"/>
      <c r="F178" s="6" t="n"/>
    </row>
    <row r="179">
      <c r="A179" s="5" t="n"/>
      <c r="B179" s="5" t="n"/>
      <c r="C179" s="6" t="n"/>
      <c r="D179" s="24" t="n"/>
      <c r="E179" s="24" t="n"/>
      <c r="F179" s="6" t="n"/>
    </row>
    <row r="180">
      <c r="A180" s="5" t="n"/>
      <c r="B180" s="5" t="n"/>
      <c r="C180" s="6" t="n"/>
      <c r="D180" s="24" t="n"/>
      <c r="E180" s="24" t="n"/>
      <c r="F180" s="6" t="n"/>
    </row>
    <row r="181">
      <c r="A181" s="5" t="n"/>
      <c r="B181" s="5" t="n"/>
      <c r="C181" s="6" t="n"/>
      <c r="D181" s="24" t="n"/>
      <c r="E181" s="24" t="n"/>
      <c r="F181" s="6" t="n"/>
    </row>
    <row r="182">
      <c r="A182" s="5" t="n"/>
      <c r="B182" s="5" t="n"/>
      <c r="C182" s="6" t="n"/>
      <c r="D182" s="24" t="n"/>
      <c r="E182" s="24" t="n"/>
      <c r="F182" s="6" t="n"/>
    </row>
    <row r="183">
      <c r="A183" s="5" t="n"/>
      <c r="B183" s="5" t="n"/>
      <c r="C183" s="6" t="n"/>
      <c r="D183" s="24" t="n"/>
      <c r="E183" s="24" t="n"/>
      <c r="F183" s="6" t="n"/>
    </row>
    <row r="184">
      <c r="A184" s="5" t="n"/>
      <c r="B184" s="5" t="n"/>
      <c r="C184" s="6" t="n"/>
      <c r="D184" s="24" t="n"/>
      <c r="E184" s="24" t="n"/>
      <c r="F184" s="6" t="n"/>
    </row>
    <row r="185">
      <c r="A185" s="5" t="n"/>
      <c r="B185" s="5" t="n"/>
      <c r="C185" s="6" t="n"/>
      <c r="D185" s="24" t="n"/>
      <c r="E185" s="24" t="n"/>
      <c r="F185" s="6" t="n"/>
    </row>
    <row r="186">
      <c r="A186" s="5" t="n"/>
      <c r="B186" s="5" t="n"/>
      <c r="C186" s="6" t="n"/>
      <c r="D186" s="24" t="n"/>
      <c r="E186" s="24" t="n"/>
      <c r="F186" s="6" t="n"/>
    </row>
    <row r="187">
      <c r="A187" s="5" t="n"/>
      <c r="B187" s="5" t="n"/>
      <c r="C187" s="6" t="n"/>
      <c r="D187" s="24" t="n"/>
      <c r="E187" s="24" t="n"/>
      <c r="F187" s="6" t="n"/>
    </row>
    <row r="188">
      <c r="A188" s="5" t="n"/>
      <c r="B188" s="5" t="n"/>
      <c r="C188" s="6" t="n"/>
      <c r="D188" s="24" t="n"/>
      <c r="E188" s="24" t="n"/>
      <c r="F188" s="6" t="n"/>
    </row>
    <row r="189">
      <c r="A189" s="5" t="n"/>
      <c r="B189" s="5" t="n"/>
      <c r="C189" s="6" t="n"/>
      <c r="D189" s="24" t="n"/>
      <c r="E189" s="24" t="n"/>
      <c r="F189" s="6" t="n"/>
    </row>
    <row r="190">
      <c r="A190" s="5" t="n"/>
      <c r="B190" s="5" t="n"/>
      <c r="C190" s="6" t="n"/>
      <c r="D190" s="24" t="n"/>
      <c r="E190" s="24" t="n"/>
      <c r="F190" s="6" t="n"/>
    </row>
    <row r="191">
      <c r="A191" s="5" t="n"/>
      <c r="B191" s="5" t="n"/>
      <c r="C191" s="6" t="n"/>
      <c r="D191" s="24" t="n"/>
      <c r="E191" s="24" t="n"/>
      <c r="F191" s="6" t="n"/>
    </row>
    <row r="192">
      <c r="A192" s="5" t="n"/>
      <c r="B192" s="5" t="n"/>
      <c r="C192" s="6" t="n"/>
      <c r="D192" s="24" t="n"/>
      <c r="E192" s="24" t="n"/>
      <c r="F192" s="6" t="n"/>
    </row>
    <row r="193">
      <c r="A193" s="5" t="n"/>
      <c r="B193" s="5" t="n"/>
      <c r="C193" s="6" t="n"/>
      <c r="D193" s="24" t="n"/>
      <c r="E193" s="24" t="n"/>
      <c r="F193" s="6" t="n"/>
    </row>
    <row r="194">
      <c r="A194" s="5" t="n"/>
      <c r="B194" s="5" t="n"/>
      <c r="C194" s="6" t="n"/>
      <c r="D194" s="24" t="n"/>
      <c r="E194" s="24" t="n"/>
      <c r="F194" s="6" t="n"/>
    </row>
    <row r="195">
      <c r="A195" s="5" t="n"/>
      <c r="B195" s="5" t="n"/>
      <c r="C195" s="6" t="n"/>
      <c r="D195" s="24" t="n"/>
      <c r="E195" s="24" t="n"/>
      <c r="F195" s="6" t="n"/>
    </row>
    <row r="196">
      <c r="A196" s="5" t="n"/>
      <c r="B196" s="5" t="n"/>
      <c r="C196" s="6" t="n"/>
      <c r="D196" s="24" t="n"/>
      <c r="E196" s="24" t="n"/>
      <c r="F196" s="6" t="n"/>
    </row>
    <row r="197">
      <c r="A197" s="5" t="n"/>
      <c r="B197" s="5" t="n"/>
      <c r="C197" s="6" t="n"/>
      <c r="D197" s="24" t="n"/>
      <c r="E197" s="24" t="n"/>
      <c r="F197" s="6" t="n"/>
    </row>
    <row r="198">
      <c r="A198" s="5" t="n"/>
      <c r="B198" s="5" t="n"/>
      <c r="C198" s="6" t="n"/>
      <c r="D198" s="24" t="n"/>
      <c r="E198" s="24" t="n"/>
      <c r="F198" s="6" t="n"/>
    </row>
    <row r="199">
      <c r="A199" s="5" t="n"/>
      <c r="B199" s="5" t="n"/>
      <c r="C199" s="6" t="n"/>
      <c r="D199" s="24" t="n"/>
      <c r="E199" s="24" t="n"/>
      <c r="F199" s="6" t="n"/>
    </row>
    <row r="200">
      <c r="A200" s="5" t="n"/>
      <c r="B200" s="5" t="n"/>
      <c r="C200" s="6" t="n"/>
      <c r="D200" s="24" t="n"/>
      <c r="E200" s="24" t="n"/>
      <c r="F200" s="6" t="n"/>
    </row>
    <row r="201">
      <c r="A201" s="5" t="n"/>
      <c r="B201" s="5" t="n"/>
      <c r="C201" s="6" t="n"/>
      <c r="D201" s="24" t="n"/>
      <c r="E201" s="24" t="n"/>
      <c r="F201" s="6" t="n"/>
    </row>
    <row r="202">
      <c r="A202" s="5" t="n"/>
      <c r="B202" s="5" t="n"/>
      <c r="C202" s="6" t="n"/>
      <c r="D202" s="24" t="n"/>
      <c r="E202" s="24" t="n"/>
      <c r="F202" s="6" t="n"/>
    </row>
    <row r="203">
      <c r="A203" s="5" t="n"/>
      <c r="B203" s="5" t="n"/>
      <c r="C203" s="6" t="n"/>
      <c r="D203" s="24" t="n"/>
      <c r="E203" s="24" t="n"/>
      <c r="F203" s="6" t="n"/>
    </row>
    <row r="204">
      <c r="A204" s="5" t="n"/>
      <c r="B204" s="5" t="n"/>
      <c r="C204" s="6" t="n"/>
      <c r="D204" s="24" t="n"/>
      <c r="E204" s="24" t="n"/>
      <c r="F204" s="6" t="n"/>
    </row>
    <row r="205">
      <c r="A205" s="5" t="n"/>
      <c r="B205" s="5" t="n"/>
      <c r="C205" s="6" t="n"/>
      <c r="D205" s="24" t="n"/>
      <c r="E205" s="24" t="n"/>
      <c r="F205" s="6" t="n"/>
    </row>
    <row r="206">
      <c r="A206" s="5" t="n"/>
      <c r="B206" s="5" t="n"/>
      <c r="C206" s="6" t="n"/>
      <c r="D206" s="24" t="n"/>
      <c r="E206" s="24" t="n"/>
      <c r="F206" s="6" t="n"/>
    </row>
    <row r="207">
      <c r="A207" s="5" t="n"/>
      <c r="B207" s="5" t="n"/>
      <c r="C207" s="6" t="n"/>
      <c r="D207" s="24" t="n"/>
      <c r="E207" s="24" t="n"/>
      <c r="F207" s="6" t="n"/>
    </row>
    <row r="208">
      <c r="A208" s="5" t="n"/>
      <c r="B208" s="5" t="n"/>
      <c r="C208" s="6" t="n"/>
      <c r="D208" s="24" t="n"/>
      <c r="E208" s="24" t="n"/>
      <c r="F208" s="6" t="n"/>
    </row>
    <row r="209">
      <c r="A209" s="5" t="n"/>
      <c r="B209" s="5" t="n"/>
      <c r="C209" s="6" t="n"/>
      <c r="D209" s="24" t="n"/>
      <c r="E209" s="24" t="n"/>
      <c r="F209" s="6" t="n"/>
    </row>
    <row r="210">
      <c r="A210" s="5" t="n"/>
      <c r="B210" s="5" t="n"/>
      <c r="C210" s="6" t="n"/>
      <c r="D210" s="24" t="n"/>
      <c r="E210" s="24" t="n"/>
      <c r="F210" s="6" t="n"/>
    </row>
    <row r="211">
      <c r="A211" s="5" t="n"/>
      <c r="B211" s="5" t="n"/>
      <c r="C211" s="6" t="n"/>
      <c r="D211" s="24" t="n"/>
      <c r="E211" s="24" t="n"/>
      <c r="F211" s="6" t="n"/>
    </row>
    <row r="212">
      <c r="A212" s="5" t="n"/>
      <c r="B212" s="5" t="n"/>
      <c r="C212" s="6" t="n"/>
      <c r="D212" s="24" t="n"/>
      <c r="E212" s="24" t="n"/>
      <c r="F212" s="6" t="n"/>
    </row>
    <row r="213">
      <c r="A213" s="5" t="n"/>
      <c r="B213" s="5" t="n"/>
      <c r="C213" s="6" t="n"/>
      <c r="D213" s="24" t="n"/>
      <c r="E213" s="24" t="n"/>
      <c r="F213" s="6" t="n"/>
    </row>
    <row r="214">
      <c r="A214" s="5" t="n"/>
      <c r="B214" s="5" t="n"/>
      <c r="C214" s="6" t="n"/>
      <c r="D214" s="24" t="n"/>
      <c r="E214" s="24" t="n"/>
      <c r="F214" s="6" t="n"/>
    </row>
    <row r="215">
      <c r="A215" s="5" t="n"/>
      <c r="B215" s="5" t="n"/>
      <c r="C215" s="6" t="n"/>
      <c r="D215" s="24" t="n"/>
      <c r="E215" s="24" t="n"/>
      <c r="F215" s="6" t="n"/>
    </row>
    <row r="216">
      <c r="A216" s="5" t="n"/>
      <c r="B216" s="5" t="n"/>
      <c r="C216" s="6" t="n"/>
      <c r="D216" s="24" t="n"/>
      <c r="E216" s="24" t="n"/>
      <c r="F216" s="6" t="n"/>
    </row>
    <row r="217">
      <c r="A217" s="5" t="n"/>
      <c r="B217" s="5" t="n"/>
      <c r="C217" s="6" t="n"/>
      <c r="D217" s="24" t="n"/>
      <c r="E217" s="24" t="n"/>
      <c r="F217" s="6" t="n"/>
    </row>
    <row r="218">
      <c r="A218" s="5" t="n"/>
      <c r="B218" s="5" t="n"/>
      <c r="C218" s="6" t="n"/>
      <c r="D218" s="24" t="n"/>
      <c r="E218" s="24" t="n"/>
      <c r="F218" s="6" t="n"/>
    </row>
    <row r="219">
      <c r="A219" s="5" t="n"/>
      <c r="B219" s="5" t="n"/>
      <c r="C219" s="6" t="n"/>
      <c r="D219" s="24" t="n"/>
      <c r="E219" s="24" t="n"/>
      <c r="F219" s="6" t="n"/>
    </row>
    <row r="220">
      <c r="A220" s="5" t="n"/>
      <c r="B220" s="5" t="n"/>
      <c r="C220" s="6" t="n"/>
      <c r="D220" s="24" t="n"/>
      <c r="E220" s="24" t="n"/>
      <c r="F220" s="6" t="n"/>
    </row>
    <row r="221">
      <c r="A221" s="5" t="n"/>
      <c r="B221" s="5" t="n"/>
      <c r="C221" s="6" t="n"/>
      <c r="D221" s="24" t="n"/>
      <c r="E221" s="24" t="n"/>
      <c r="F221" s="6" t="n"/>
    </row>
    <row r="222">
      <c r="A222" s="5" t="n"/>
      <c r="B222" s="5" t="n"/>
      <c r="C222" s="6" t="n"/>
      <c r="D222" s="24" t="n"/>
      <c r="E222" s="24" t="n"/>
      <c r="F222" s="6" t="n"/>
    </row>
    <row r="223">
      <c r="A223" s="5" t="n"/>
      <c r="B223" s="5" t="n"/>
      <c r="C223" s="6" t="n"/>
      <c r="D223" s="24" t="n"/>
      <c r="E223" s="24" t="n"/>
      <c r="F223" s="6" t="n"/>
    </row>
    <row r="224">
      <c r="A224" s="5" t="n"/>
      <c r="B224" s="5" t="n"/>
      <c r="C224" s="6" t="n"/>
      <c r="D224" s="24" t="n"/>
      <c r="E224" s="24" t="n"/>
      <c r="F224" s="6" t="n"/>
    </row>
    <row r="225">
      <c r="A225" s="5" t="n"/>
      <c r="B225" s="5" t="n"/>
      <c r="C225" s="6" t="n"/>
      <c r="D225" s="24" t="n"/>
      <c r="E225" s="24" t="n"/>
      <c r="F225" s="6" t="n"/>
    </row>
    <row r="226">
      <c r="A226" s="5" t="n"/>
      <c r="B226" s="5" t="n"/>
      <c r="C226" s="6" t="n"/>
      <c r="D226" s="24" t="n"/>
      <c r="E226" s="24" t="n"/>
      <c r="F226" s="6" t="n"/>
    </row>
    <row r="227">
      <c r="A227" s="5" t="n"/>
      <c r="B227" s="5" t="n"/>
      <c r="C227" s="6" t="n"/>
      <c r="D227" s="24" t="n"/>
      <c r="E227" s="24" t="n"/>
      <c r="F227" s="6" t="n"/>
    </row>
    <row r="228">
      <c r="A228" s="5" t="n"/>
      <c r="B228" s="5" t="n"/>
      <c r="C228" s="6" t="n"/>
      <c r="D228" s="24" t="n"/>
      <c r="E228" s="24" t="n"/>
      <c r="F228" s="6" t="n"/>
    </row>
    <row r="229">
      <c r="A229" s="5" t="n"/>
      <c r="B229" s="5" t="n"/>
      <c r="C229" s="6" t="n"/>
      <c r="D229" s="24" t="n"/>
      <c r="E229" s="24" t="n"/>
      <c r="F229" s="6" t="n"/>
    </row>
    <row r="230">
      <c r="A230" s="5" t="n"/>
      <c r="B230" s="5" t="n"/>
      <c r="C230" s="6" t="n"/>
      <c r="D230" s="24" t="n"/>
      <c r="E230" s="24" t="n"/>
      <c r="F230" s="6" t="n"/>
    </row>
    <row r="231">
      <c r="A231" s="5" t="n"/>
      <c r="B231" s="5" t="n"/>
      <c r="C231" s="6" t="n"/>
      <c r="D231" s="24" t="n"/>
      <c r="E231" s="24" t="n"/>
      <c r="F231" s="6" t="n"/>
    </row>
    <row r="232">
      <c r="A232" s="5" t="n"/>
      <c r="B232" s="5" t="n"/>
      <c r="C232" s="6" t="n"/>
      <c r="D232" s="24" t="n"/>
      <c r="E232" s="24" t="n"/>
      <c r="F232" s="6" t="n"/>
    </row>
    <row r="233">
      <c r="A233" s="5" t="n"/>
      <c r="B233" s="5" t="n"/>
      <c r="C233" s="6" t="n"/>
      <c r="D233" s="24" t="n"/>
      <c r="E233" s="24" t="n"/>
      <c r="F233" s="6" t="n"/>
    </row>
    <row r="234">
      <c r="A234" s="5" t="n"/>
      <c r="B234" s="5" t="n"/>
      <c r="C234" s="6" t="n"/>
      <c r="D234" s="24" t="n"/>
      <c r="E234" s="24" t="n"/>
      <c r="F234" s="6" t="n"/>
    </row>
    <row r="235">
      <c r="A235" s="5" t="n"/>
      <c r="B235" s="5" t="n"/>
      <c r="C235" s="6" t="n"/>
      <c r="D235" s="24" t="n"/>
      <c r="E235" s="24" t="n"/>
      <c r="F235" s="6" t="n"/>
    </row>
    <row r="236">
      <c r="A236" s="5" t="n"/>
      <c r="B236" s="5" t="n"/>
      <c r="C236" s="6" t="n"/>
      <c r="D236" s="24" t="n"/>
      <c r="E236" s="24" t="n"/>
      <c r="F236" s="6" t="n"/>
    </row>
    <row r="237">
      <c r="A237" s="5" t="n"/>
      <c r="B237" s="5" t="n"/>
      <c r="C237" s="6" t="n"/>
      <c r="D237" s="24" t="n"/>
      <c r="E237" s="24" t="n"/>
      <c r="F237" s="6" t="n"/>
    </row>
    <row r="238">
      <c r="A238" s="5" t="n"/>
      <c r="B238" s="5" t="n"/>
      <c r="C238" s="6" t="n"/>
      <c r="D238" s="24" t="n"/>
      <c r="E238" s="24" t="n"/>
      <c r="F238" s="6" t="n"/>
    </row>
    <row r="239">
      <c r="A239" s="5" t="n"/>
      <c r="B239" s="5" t="n"/>
      <c r="C239" s="6" t="n"/>
      <c r="D239" s="24" t="n"/>
      <c r="E239" s="24" t="n"/>
      <c r="F239" s="6" t="n"/>
    </row>
    <row r="240">
      <c r="A240" s="5" t="n"/>
      <c r="B240" s="5" t="n"/>
      <c r="C240" s="6" t="n"/>
      <c r="D240" s="24" t="n"/>
      <c r="E240" s="24" t="n"/>
      <c r="F240" s="6" t="n"/>
    </row>
    <row r="241">
      <c r="A241" s="5" t="n"/>
      <c r="B241" s="5" t="n"/>
      <c r="C241" s="6" t="n"/>
      <c r="D241" s="24" t="n"/>
      <c r="E241" s="24" t="n"/>
      <c r="F241" s="6" t="n"/>
    </row>
    <row r="242">
      <c r="A242" s="5" t="n"/>
      <c r="B242" s="5" t="n"/>
      <c r="C242" s="6" t="n"/>
      <c r="D242" s="24" t="n"/>
      <c r="E242" s="24" t="n"/>
      <c r="F242" s="6" t="n"/>
    </row>
    <row r="243">
      <c r="A243" s="5" t="n"/>
      <c r="B243" s="5" t="n"/>
      <c r="C243" s="6" t="n"/>
      <c r="D243" s="24" t="n"/>
      <c r="E243" s="24" t="n"/>
      <c r="F243" s="6" t="n"/>
    </row>
    <row r="244">
      <c r="A244" s="5" t="n"/>
      <c r="B244" s="5" t="n"/>
      <c r="C244" s="6" t="n"/>
      <c r="D244" s="24" t="n"/>
      <c r="E244" s="24" t="n"/>
      <c r="F244" s="6" t="n"/>
    </row>
    <row r="245">
      <c r="A245" s="5" t="n"/>
      <c r="B245" s="5" t="n"/>
      <c r="C245" s="6" t="n"/>
      <c r="D245" s="24" t="n"/>
      <c r="E245" s="24" t="n"/>
      <c r="F245" s="6" t="n"/>
    </row>
    <row r="246">
      <c r="A246" s="5" t="n"/>
      <c r="B246" s="5" t="n"/>
      <c r="C246" s="6" t="n"/>
      <c r="D246" s="24" t="n"/>
      <c r="E246" s="24" t="n"/>
      <c r="F246" s="6" t="n"/>
    </row>
    <row r="247">
      <c r="A247" s="5" t="n"/>
      <c r="B247" s="5" t="n"/>
      <c r="C247" s="6" t="n"/>
      <c r="D247" s="24" t="n"/>
      <c r="E247" s="24" t="n"/>
      <c r="F247" s="6" t="n"/>
    </row>
    <row r="248">
      <c r="A248" s="5" t="n"/>
      <c r="B248" s="5" t="n"/>
      <c r="C248" s="6" t="n"/>
      <c r="D248" s="24" t="n"/>
      <c r="E248" s="24" t="n"/>
      <c r="F248" s="6" t="n"/>
    </row>
    <row r="249">
      <c r="A249" s="5" t="n"/>
      <c r="B249" s="5" t="n"/>
      <c r="C249" s="6" t="n"/>
      <c r="D249" s="24" t="n"/>
      <c r="E249" s="24" t="n"/>
      <c r="F249" s="6" t="n"/>
    </row>
    <row r="250">
      <c r="A250" s="5" t="n"/>
      <c r="B250" s="5" t="n"/>
      <c r="C250" s="6" t="n"/>
      <c r="D250" s="24" t="n"/>
      <c r="E250" s="24" t="n"/>
      <c r="F250" s="6" t="n"/>
    </row>
    <row r="251">
      <c r="A251" s="5" t="n"/>
      <c r="B251" s="5" t="n"/>
      <c r="C251" s="6" t="n"/>
      <c r="D251" s="24" t="n"/>
      <c r="E251" s="24" t="n"/>
      <c r="F251" s="6" t="n"/>
    </row>
    <row r="252">
      <c r="A252" s="5" t="n"/>
      <c r="B252" s="5" t="n"/>
      <c r="C252" s="6" t="n"/>
      <c r="D252" s="24" t="n"/>
      <c r="E252" s="24" t="n"/>
      <c r="F252" s="6" t="n"/>
    </row>
    <row r="253">
      <c r="A253" s="5" t="n"/>
      <c r="B253" s="5" t="n"/>
      <c r="C253" s="6" t="n"/>
      <c r="D253" s="24" t="n"/>
      <c r="E253" s="24" t="n"/>
      <c r="F253" s="6" t="n"/>
    </row>
    <row r="254">
      <c r="A254" s="5" t="n"/>
      <c r="B254" s="5" t="n"/>
      <c r="C254" s="6" t="n"/>
      <c r="D254" s="24" t="n"/>
      <c r="E254" s="24" t="n"/>
      <c r="F254" s="6" t="n"/>
    </row>
    <row r="255">
      <c r="A255" s="5" t="n"/>
      <c r="B255" s="5" t="n"/>
      <c r="C255" s="6" t="n"/>
      <c r="D255" s="24" t="n"/>
      <c r="E255" s="24" t="n"/>
      <c r="F255" s="6" t="n"/>
    </row>
    <row r="256">
      <c r="A256" s="5" t="n"/>
      <c r="B256" s="5" t="n"/>
      <c r="C256" s="6" t="n"/>
      <c r="D256" s="24" t="n"/>
      <c r="E256" s="24" t="n"/>
      <c r="F256" s="6" t="n"/>
    </row>
    <row r="257">
      <c r="A257" s="5" t="n"/>
      <c r="B257" s="5" t="n"/>
      <c r="C257" s="6" t="n"/>
      <c r="D257" s="24" t="n"/>
      <c r="E257" s="24" t="n"/>
      <c r="F257" s="6" t="n"/>
    </row>
    <row r="258">
      <c r="A258" s="5" t="n"/>
      <c r="B258" s="5" t="n"/>
      <c r="C258" s="6" t="n"/>
      <c r="D258" s="24" t="n"/>
      <c r="E258" s="24" t="n"/>
      <c r="F258" s="6" t="n"/>
    </row>
    <row r="259">
      <c r="A259" s="5" t="n"/>
      <c r="B259" s="5" t="n"/>
      <c r="C259" s="6" t="n"/>
      <c r="D259" s="24" t="n"/>
      <c r="E259" s="24" t="n"/>
      <c r="F259" s="6" t="n"/>
    </row>
    <row r="260">
      <c r="A260" s="5" t="n"/>
      <c r="B260" s="5" t="n"/>
      <c r="C260" s="6" t="n"/>
      <c r="D260" s="24" t="n"/>
      <c r="E260" s="24" t="n"/>
      <c r="F260" s="6" t="n"/>
    </row>
    <row r="261">
      <c r="A261" s="5" t="n"/>
      <c r="B261" s="5" t="n"/>
      <c r="C261" s="6" t="n"/>
      <c r="D261" s="24" t="n"/>
      <c r="E261" s="24" t="n"/>
      <c r="F261" s="6" t="n"/>
    </row>
    <row r="262">
      <c r="A262" s="5" t="n"/>
      <c r="B262" s="5" t="n"/>
      <c r="C262" s="6" t="n"/>
      <c r="D262" s="24" t="n"/>
      <c r="E262" s="24" t="n"/>
      <c r="F262" s="6" t="n"/>
    </row>
    <row r="263">
      <c r="A263" s="5" t="n"/>
      <c r="B263" s="5" t="n"/>
      <c r="C263" s="6" t="n"/>
      <c r="D263" s="24" t="n"/>
      <c r="E263" s="24" t="n"/>
      <c r="F263" s="6" t="n"/>
    </row>
    <row r="264">
      <c r="A264" s="5" t="n"/>
      <c r="B264" s="5" t="n"/>
      <c r="C264" s="6" t="n"/>
      <c r="D264" s="24" t="n"/>
      <c r="E264" s="24" t="n"/>
      <c r="F264" s="6" t="n"/>
    </row>
    <row r="265">
      <c r="A265" s="5" t="n"/>
      <c r="B265" s="5" t="n"/>
      <c r="C265" s="6" t="n"/>
      <c r="D265" s="24" t="n"/>
      <c r="E265" s="24" t="n"/>
      <c r="F265" s="6" t="n"/>
    </row>
    <row r="266">
      <c r="A266" s="5" t="n"/>
      <c r="B266" s="5" t="n"/>
      <c r="C266" s="6" t="n"/>
      <c r="D266" s="24" t="n"/>
      <c r="E266" s="24" t="n"/>
      <c r="F266" s="6" t="n"/>
    </row>
    <row r="267">
      <c r="A267" s="5" t="n"/>
      <c r="B267" s="5" t="n"/>
      <c r="C267" s="6" t="n"/>
      <c r="D267" s="24" t="n"/>
      <c r="E267" s="24" t="n"/>
      <c r="F267" s="6" t="n"/>
    </row>
    <row r="268">
      <c r="A268" s="5" t="n"/>
      <c r="B268" s="5" t="n"/>
      <c r="C268" s="6" t="n"/>
      <c r="D268" s="24" t="n"/>
      <c r="E268" s="24" t="n"/>
      <c r="F268" s="6" t="n"/>
    </row>
    <row r="269">
      <c r="A269" s="5" t="n"/>
      <c r="B269" s="5" t="n"/>
      <c r="C269" s="6" t="n"/>
      <c r="D269" s="24" t="n"/>
      <c r="E269" s="24" t="n"/>
      <c r="F269" s="6" t="n"/>
    </row>
    <row r="270">
      <c r="A270" s="5" t="n"/>
      <c r="B270" s="5" t="n"/>
      <c r="C270" s="6" t="n"/>
      <c r="D270" s="24" t="n"/>
      <c r="E270" s="24" t="n"/>
      <c r="F270" s="6" t="n"/>
    </row>
    <row r="271">
      <c r="A271" s="5" t="n"/>
      <c r="B271" s="5" t="n"/>
      <c r="C271" s="6" t="n"/>
      <c r="D271" s="24" t="n"/>
      <c r="E271" s="24" t="n"/>
      <c r="F271" s="6" t="n"/>
    </row>
    <row r="272">
      <c r="A272" s="5" t="n"/>
      <c r="B272" s="5" t="n"/>
      <c r="C272" s="6" t="n"/>
      <c r="D272" s="24" t="n"/>
      <c r="E272" s="24" t="n"/>
      <c r="F272" s="6" t="n"/>
    </row>
    <row r="273">
      <c r="A273" s="5" t="n"/>
      <c r="B273" s="5" t="n"/>
      <c r="C273" s="6" t="n"/>
      <c r="D273" s="24" t="n"/>
      <c r="E273" s="24" t="n"/>
      <c r="F273" s="6" t="n"/>
    </row>
    <row r="274">
      <c r="A274" s="5" t="n"/>
      <c r="B274" s="5" t="n"/>
      <c r="C274" s="6" t="n"/>
      <c r="D274" s="24" t="n"/>
      <c r="E274" s="24" t="n"/>
      <c r="F274" s="6" t="n"/>
    </row>
    <row r="275">
      <c r="A275" s="5" t="n"/>
      <c r="B275" s="5" t="n"/>
      <c r="C275" s="6" t="n"/>
      <c r="D275" s="24" t="n"/>
      <c r="E275" s="24" t="n"/>
      <c r="F275" s="6" t="n"/>
    </row>
    <row r="276">
      <c r="A276" s="5" t="n"/>
      <c r="B276" s="5" t="n"/>
      <c r="C276" s="6" t="n"/>
      <c r="D276" s="24" t="n"/>
      <c r="E276" s="24" t="n"/>
      <c r="F276" s="6" t="n"/>
    </row>
    <row r="277">
      <c r="A277" s="5" t="n"/>
      <c r="B277" s="5" t="n"/>
      <c r="C277" s="6" t="n"/>
      <c r="D277" s="24" t="n"/>
      <c r="E277" s="24" t="n"/>
      <c r="F277" s="6" t="n"/>
    </row>
    <row r="278">
      <c r="A278" s="5" t="n"/>
      <c r="B278" s="5" t="n"/>
      <c r="C278" s="6" t="n"/>
      <c r="D278" s="24" t="n"/>
      <c r="E278" s="24" t="n"/>
      <c r="F278" s="6" t="n"/>
    </row>
    <row r="279">
      <c r="A279" s="5" t="n"/>
      <c r="B279" s="5" t="n"/>
      <c r="C279" s="6" t="n"/>
      <c r="D279" s="24" t="n"/>
      <c r="E279" s="24" t="n"/>
      <c r="F279" s="6" t="n"/>
    </row>
    <row r="280">
      <c r="A280" s="5" t="n"/>
      <c r="B280" s="5" t="n"/>
      <c r="C280" s="6" t="n"/>
      <c r="D280" s="24" t="n"/>
      <c r="E280" s="24" t="n"/>
      <c r="F280" s="6" t="n"/>
    </row>
    <row r="281">
      <c r="A281" s="5" t="n"/>
      <c r="B281" s="5" t="n"/>
      <c r="C281" s="6" t="n"/>
      <c r="D281" s="24" t="n"/>
      <c r="E281" s="24" t="n"/>
      <c r="F281" s="6" t="n"/>
    </row>
    <row r="282">
      <c r="A282" s="5" t="n"/>
      <c r="B282" s="5" t="n"/>
      <c r="C282" s="6" t="n"/>
      <c r="D282" s="24" t="n"/>
      <c r="E282" s="24" t="n"/>
      <c r="F282" s="6" t="n"/>
    </row>
    <row r="283">
      <c r="A283" s="5" t="n"/>
      <c r="B283" s="5" t="n"/>
      <c r="C283" s="6" t="n"/>
      <c r="D283" s="24" t="n"/>
      <c r="E283" s="24" t="n"/>
      <c r="F283" s="6" t="n"/>
    </row>
    <row r="284">
      <c r="A284" s="5" t="n"/>
      <c r="B284" s="5" t="n"/>
      <c r="C284" s="6" t="n"/>
      <c r="D284" s="24" t="n"/>
      <c r="E284" s="24" t="n"/>
      <c r="F284" s="6" t="n"/>
    </row>
    <row r="285">
      <c r="A285" s="5" t="n"/>
      <c r="B285" s="5" t="n"/>
      <c r="C285" s="6" t="n"/>
      <c r="D285" s="24" t="n"/>
      <c r="E285" s="24" t="n"/>
      <c r="F285" s="6" t="n"/>
    </row>
    <row r="286">
      <c r="A286" s="5" t="n"/>
      <c r="B286" s="5" t="n"/>
      <c r="C286" s="6" t="n"/>
      <c r="D286" s="24" t="n"/>
      <c r="E286" s="24" t="n"/>
      <c r="F286" s="6" t="n"/>
    </row>
    <row r="287">
      <c r="A287" s="5" t="n"/>
      <c r="B287" s="5" t="n"/>
      <c r="C287" s="6" t="n"/>
      <c r="D287" s="24" t="n"/>
      <c r="E287" s="24" t="n"/>
      <c r="F287" s="6" t="n"/>
    </row>
    <row r="288">
      <c r="A288" s="5" t="n"/>
      <c r="B288" s="5" t="n"/>
      <c r="C288" s="6" t="n"/>
      <c r="D288" s="24" t="n"/>
      <c r="E288" s="24" t="n"/>
      <c r="F288" s="6" t="n"/>
    </row>
    <row r="289">
      <c r="A289" s="5" t="n"/>
      <c r="B289" s="5" t="n"/>
      <c r="C289" s="6" t="n"/>
      <c r="D289" s="24" t="n"/>
      <c r="E289" s="24" t="n"/>
      <c r="F289" s="6" t="n"/>
    </row>
    <row r="290">
      <c r="A290" s="5" t="n"/>
      <c r="B290" s="5" t="n"/>
      <c r="C290" s="6" t="n"/>
      <c r="D290" s="24" t="n"/>
      <c r="E290" s="24" t="n"/>
      <c r="F290" s="6" t="n"/>
    </row>
    <row r="291">
      <c r="A291" s="5" t="n"/>
      <c r="B291" s="5" t="n"/>
      <c r="C291" s="6" t="n"/>
      <c r="D291" s="24" t="n"/>
      <c r="E291" s="24" t="n"/>
      <c r="F291" s="6" t="n"/>
    </row>
    <row r="292">
      <c r="A292" s="5" t="n"/>
      <c r="B292" s="5" t="n"/>
      <c r="C292" s="6" t="n"/>
      <c r="D292" s="24" t="n"/>
      <c r="E292" s="24" t="n"/>
      <c r="F292" s="6" t="n"/>
    </row>
    <row r="293">
      <c r="A293" s="5" t="n"/>
      <c r="B293" s="5" t="n"/>
      <c r="C293" s="6" t="n"/>
      <c r="D293" s="24" t="n"/>
      <c r="E293" s="24" t="n"/>
      <c r="F293" s="6" t="n"/>
    </row>
    <row r="294">
      <c r="A294" s="5" t="n"/>
      <c r="B294" s="5" t="n"/>
      <c r="C294" s="6" t="n"/>
      <c r="D294" s="24" t="n"/>
      <c r="E294" s="24" t="n"/>
      <c r="F294" s="6" t="n"/>
    </row>
    <row r="295">
      <c r="A295" s="5" t="n"/>
      <c r="B295" s="5" t="n"/>
      <c r="C295" s="6" t="n"/>
      <c r="D295" s="24" t="n"/>
      <c r="E295" s="24" t="n"/>
      <c r="F295" s="6" t="n"/>
    </row>
    <row r="296">
      <c r="A296" s="5" t="n"/>
      <c r="B296" s="5" t="n"/>
      <c r="C296" s="6" t="n"/>
      <c r="D296" s="24" t="n"/>
      <c r="E296" s="24" t="n"/>
      <c r="F296" s="6" t="n"/>
    </row>
    <row r="297">
      <c r="A297" s="5" t="n"/>
      <c r="B297" s="5" t="n"/>
      <c r="C297" s="6" t="n"/>
      <c r="D297" s="24" t="n"/>
      <c r="E297" s="24" t="n"/>
      <c r="F297" s="6" t="n"/>
    </row>
    <row r="298">
      <c r="A298" s="5" t="n"/>
      <c r="B298" s="5" t="n"/>
      <c r="C298" s="6" t="n"/>
      <c r="D298" s="24" t="n"/>
      <c r="E298" s="24" t="n"/>
      <c r="F298" s="6" t="n"/>
    </row>
    <row r="299">
      <c r="A299" s="5" t="n"/>
      <c r="B299" s="5" t="n"/>
      <c r="C299" s="6" t="n"/>
      <c r="D299" s="24" t="n"/>
      <c r="E299" s="24" t="n"/>
      <c r="F299" s="6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6" customWidth="1" min="4" max="4"/>
    <col width="16" customWidth="1" min="5" max="5"/>
    <col width="13" customWidth="1" min="6" max="6"/>
    <col width="13" customWidth="1" min="7" max="7"/>
    <col width="13" customWidth="1" min="8" max="8"/>
    <col width="22" customWidth="1" min="9" max="9"/>
    <col width="13" customWidth="1" min="10" max="10"/>
    <col width="28" customWidth="1" min="11" max="11"/>
    <col width="18" customWidth="1" min="12" max="12"/>
  </cols>
  <sheetData>
    <row r="1" ht="30" customHeight="1">
      <c r="A1" s="1" t="inlineStr">
        <is>
          <t>DOCUMENTOS  ·  las boletas y vouchers que escanea la app</t>
        </is>
      </c>
    </row>
    <row r="2">
      <c r="A2" s="4" t="inlineStr">
        <is>
          <t>La app escribe acá sola. Cada fila de acá genera además una fila en MOVIMIENTOS, que es la que entra al cashflow.</t>
        </is>
      </c>
    </row>
    <row r="3">
      <c r="A3" s="7" t="inlineStr">
        <is>
          <t>ID</t>
        </is>
      </c>
      <c r="B3" s="7" t="inlineStr">
        <is>
          <t>FECHA</t>
        </is>
      </c>
      <c r="C3" s="7" t="inlineStr">
        <is>
          <t>TIPO</t>
        </is>
      </c>
      <c r="D3" s="7" t="inlineStr">
        <is>
          <t>N DOCUMENTO</t>
        </is>
      </c>
      <c r="E3" s="7" t="inlineStr">
        <is>
          <t>RUT EMISOR</t>
        </is>
      </c>
      <c r="F3" s="7" t="inlineStr">
        <is>
          <t>NETO</t>
        </is>
      </c>
      <c r="G3" s="7" t="inlineStr">
        <is>
          <t>IVA</t>
        </is>
      </c>
      <c r="H3" s="7" t="inlineStr">
        <is>
          <t>TOTAL</t>
        </is>
      </c>
      <c r="I3" s="7" t="inlineStr">
        <is>
          <t>CATEGORÍA</t>
        </is>
      </c>
      <c r="J3" s="7" t="inlineStr">
        <is>
          <t>FORMA PAGO</t>
        </is>
      </c>
      <c r="K3" s="7" t="inlineStr">
        <is>
          <t>AVISOS</t>
        </is>
      </c>
      <c r="L3" s="7" t="inlineStr">
        <is>
          <t>RECIBIDO</t>
        </is>
      </c>
    </row>
    <row r="4">
      <c r="A4" s="6" t="n"/>
      <c r="B4" s="24" t="n"/>
      <c r="C4" s="6" t="n"/>
      <c r="D4" s="6" t="n"/>
      <c r="E4" s="6" t="n"/>
      <c r="F4" s="8" t="n"/>
      <c r="G4" s="8" t="n"/>
      <c r="H4" s="8" t="n"/>
      <c r="I4" s="6" t="n"/>
      <c r="J4" s="6" t="n"/>
      <c r="K4" s="6" t="n"/>
      <c r="L4" s="6" t="n"/>
    </row>
    <row r="5">
      <c r="A5" s="6" t="n"/>
      <c r="B5" s="24" t="n"/>
      <c r="C5" s="6" t="n"/>
      <c r="D5" s="6" t="n"/>
      <c r="E5" s="6" t="n"/>
      <c r="F5" s="8" t="n"/>
      <c r="G5" s="8" t="n"/>
      <c r="H5" s="8" t="n"/>
      <c r="I5" s="6" t="n"/>
      <c r="J5" s="6" t="n"/>
      <c r="K5" s="6" t="n"/>
      <c r="L5" s="6" t="n"/>
    </row>
    <row r="6">
      <c r="A6" s="6" t="n"/>
      <c r="B6" s="24" t="n"/>
      <c r="C6" s="6" t="n"/>
      <c r="D6" s="6" t="n"/>
      <c r="E6" s="6" t="n"/>
      <c r="F6" s="8" t="n"/>
      <c r="G6" s="8" t="n"/>
      <c r="H6" s="8" t="n"/>
      <c r="I6" s="6" t="n"/>
      <c r="J6" s="6" t="n"/>
      <c r="K6" s="6" t="n"/>
      <c r="L6" s="6" t="n"/>
    </row>
    <row r="7">
      <c r="A7" s="6" t="n"/>
      <c r="B7" s="24" t="n"/>
      <c r="C7" s="6" t="n"/>
      <c r="D7" s="6" t="n"/>
      <c r="E7" s="6" t="n"/>
      <c r="F7" s="8" t="n"/>
      <c r="G7" s="8" t="n"/>
      <c r="H7" s="8" t="n"/>
      <c r="I7" s="6" t="n"/>
      <c r="J7" s="6" t="n"/>
      <c r="K7" s="6" t="n"/>
      <c r="L7" s="6" t="n"/>
    </row>
    <row r="8">
      <c r="A8" s="6" t="n"/>
      <c r="B8" s="24" t="n"/>
      <c r="C8" s="6" t="n"/>
      <c r="D8" s="6" t="n"/>
      <c r="E8" s="6" t="n"/>
      <c r="F8" s="8" t="n"/>
      <c r="G8" s="8" t="n"/>
      <c r="H8" s="8" t="n"/>
      <c r="I8" s="6" t="n"/>
      <c r="J8" s="6" t="n"/>
      <c r="K8" s="6" t="n"/>
      <c r="L8" s="6" t="n"/>
    </row>
    <row r="9">
      <c r="A9" s="6" t="n"/>
      <c r="B9" s="24" t="n"/>
      <c r="C9" s="6" t="n"/>
      <c r="D9" s="6" t="n"/>
      <c r="E9" s="6" t="n"/>
      <c r="F9" s="8" t="n"/>
      <c r="G9" s="8" t="n"/>
      <c r="H9" s="8" t="n"/>
      <c r="I9" s="6" t="n"/>
      <c r="J9" s="6" t="n"/>
      <c r="K9" s="6" t="n"/>
      <c r="L9" s="6" t="n"/>
    </row>
    <row r="10">
      <c r="A10" s="6" t="n"/>
      <c r="B10" s="24" t="n"/>
      <c r="C10" s="6" t="n"/>
      <c r="D10" s="6" t="n"/>
      <c r="E10" s="6" t="n"/>
      <c r="F10" s="8" t="n"/>
      <c r="G10" s="8" t="n"/>
      <c r="H10" s="8" t="n"/>
      <c r="I10" s="6" t="n"/>
      <c r="J10" s="6" t="n"/>
      <c r="K10" s="6" t="n"/>
      <c r="L10" s="6" t="n"/>
    </row>
    <row r="11">
      <c r="A11" s="6" t="n"/>
      <c r="B11" s="24" t="n"/>
      <c r="C11" s="6" t="n"/>
      <c r="D11" s="6" t="n"/>
      <c r="E11" s="6" t="n"/>
      <c r="F11" s="8" t="n"/>
      <c r="G11" s="8" t="n"/>
      <c r="H11" s="8" t="n"/>
      <c r="I11" s="6" t="n"/>
      <c r="J11" s="6" t="n"/>
      <c r="K11" s="6" t="n"/>
      <c r="L11" s="6" t="n"/>
    </row>
    <row r="12">
      <c r="A12" s="6" t="n"/>
      <c r="B12" s="24" t="n"/>
      <c r="C12" s="6" t="n"/>
      <c r="D12" s="6" t="n"/>
      <c r="E12" s="6" t="n"/>
      <c r="F12" s="8" t="n"/>
      <c r="G12" s="8" t="n"/>
      <c r="H12" s="8" t="n"/>
      <c r="I12" s="6" t="n"/>
      <c r="J12" s="6" t="n"/>
      <c r="K12" s="6" t="n"/>
      <c r="L12" s="6" t="n"/>
    </row>
    <row r="13">
      <c r="A13" s="6" t="n"/>
      <c r="B13" s="24" t="n"/>
      <c r="C13" s="6" t="n"/>
      <c r="D13" s="6" t="n"/>
      <c r="E13" s="6" t="n"/>
      <c r="F13" s="8" t="n"/>
      <c r="G13" s="8" t="n"/>
      <c r="H13" s="8" t="n"/>
      <c r="I13" s="6" t="n"/>
      <c r="J13" s="6" t="n"/>
      <c r="K13" s="6" t="n"/>
      <c r="L13" s="6" t="n"/>
    </row>
    <row r="14">
      <c r="A14" s="6" t="n"/>
      <c r="B14" s="24" t="n"/>
      <c r="C14" s="6" t="n"/>
      <c r="D14" s="6" t="n"/>
      <c r="E14" s="6" t="n"/>
      <c r="F14" s="8" t="n"/>
      <c r="G14" s="8" t="n"/>
      <c r="H14" s="8" t="n"/>
      <c r="I14" s="6" t="n"/>
      <c r="J14" s="6" t="n"/>
      <c r="K14" s="6" t="n"/>
      <c r="L14" s="6" t="n"/>
    </row>
    <row r="15">
      <c r="A15" s="6" t="n"/>
      <c r="B15" s="24" t="n"/>
      <c r="C15" s="6" t="n"/>
      <c r="D15" s="6" t="n"/>
      <c r="E15" s="6" t="n"/>
      <c r="F15" s="8" t="n"/>
      <c r="G15" s="8" t="n"/>
      <c r="H15" s="8" t="n"/>
      <c r="I15" s="6" t="n"/>
      <c r="J15" s="6" t="n"/>
      <c r="K15" s="6" t="n"/>
      <c r="L15" s="6" t="n"/>
    </row>
    <row r="16">
      <c r="A16" s="6" t="n"/>
      <c r="B16" s="24" t="n"/>
      <c r="C16" s="6" t="n"/>
      <c r="D16" s="6" t="n"/>
      <c r="E16" s="6" t="n"/>
      <c r="F16" s="8" t="n"/>
      <c r="G16" s="8" t="n"/>
      <c r="H16" s="8" t="n"/>
      <c r="I16" s="6" t="n"/>
      <c r="J16" s="6" t="n"/>
      <c r="K16" s="6" t="n"/>
      <c r="L16" s="6" t="n"/>
    </row>
    <row r="17">
      <c r="A17" s="6" t="n"/>
      <c r="B17" s="24" t="n"/>
      <c r="C17" s="6" t="n"/>
      <c r="D17" s="6" t="n"/>
      <c r="E17" s="6" t="n"/>
      <c r="F17" s="8" t="n"/>
      <c r="G17" s="8" t="n"/>
      <c r="H17" s="8" t="n"/>
      <c r="I17" s="6" t="n"/>
      <c r="J17" s="6" t="n"/>
      <c r="K17" s="6" t="n"/>
      <c r="L17" s="6" t="n"/>
    </row>
    <row r="18">
      <c r="A18" s="6" t="n"/>
      <c r="B18" s="24" t="n"/>
      <c r="C18" s="6" t="n"/>
      <c r="D18" s="6" t="n"/>
      <c r="E18" s="6" t="n"/>
      <c r="F18" s="8" t="n"/>
      <c r="G18" s="8" t="n"/>
      <c r="H18" s="8" t="n"/>
      <c r="I18" s="6" t="n"/>
      <c r="J18" s="6" t="n"/>
      <c r="K18" s="6" t="n"/>
      <c r="L18" s="6" t="n"/>
    </row>
    <row r="19">
      <c r="A19" s="6" t="n"/>
      <c r="B19" s="24" t="n"/>
      <c r="C19" s="6" t="n"/>
      <c r="D19" s="6" t="n"/>
      <c r="E19" s="6" t="n"/>
      <c r="F19" s="8" t="n"/>
      <c r="G19" s="8" t="n"/>
      <c r="H19" s="8" t="n"/>
      <c r="I19" s="6" t="n"/>
      <c r="J19" s="6" t="n"/>
      <c r="K19" s="6" t="n"/>
      <c r="L19" s="6" t="n"/>
    </row>
    <row r="20">
      <c r="A20" s="6" t="n"/>
      <c r="B20" s="24" t="n"/>
      <c r="C20" s="6" t="n"/>
      <c r="D20" s="6" t="n"/>
      <c r="E20" s="6" t="n"/>
      <c r="F20" s="8" t="n"/>
      <c r="G20" s="8" t="n"/>
      <c r="H20" s="8" t="n"/>
      <c r="I20" s="6" t="n"/>
      <c r="J20" s="6" t="n"/>
      <c r="K20" s="6" t="n"/>
      <c r="L20" s="6" t="n"/>
    </row>
    <row r="21">
      <c r="A21" s="6" t="n"/>
      <c r="B21" s="24" t="n"/>
      <c r="C21" s="6" t="n"/>
      <c r="D21" s="6" t="n"/>
      <c r="E21" s="6" t="n"/>
      <c r="F21" s="8" t="n"/>
      <c r="G21" s="8" t="n"/>
      <c r="H21" s="8" t="n"/>
      <c r="I21" s="6" t="n"/>
      <c r="J21" s="6" t="n"/>
      <c r="K21" s="6" t="n"/>
      <c r="L21" s="6" t="n"/>
    </row>
    <row r="22">
      <c r="A22" s="6" t="n"/>
      <c r="B22" s="24" t="n"/>
      <c r="C22" s="6" t="n"/>
      <c r="D22" s="6" t="n"/>
      <c r="E22" s="6" t="n"/>
      <c r="F22" s="8" t="n"/>
      <c r="G22" s="8" t="n"/>
      <c r="H22" s="8" t="n"/>
      <c r="I22" s="6" t="n"/>
      <c r="J22" s="6" t="n"/>
      <c r="K22" s="6" t="n"/>
      <c r="L22" s="6" t="n"/>
    </row>
    <row r="23">
      <c r="A23" s="6" t="n"/>
      <c r="B23" s="24" t="n"/>
      <c r="C23" s="6" t="n"/>
      <c r="D23" s="6" t="n"/>
      <c r="E23" s="6" t="n"/>
      <c r="F23" s="8" t="n"/>
      <c r="G23" s="8" t="n"/>
      <c r="H23" s="8" t="n"/>
      <c r="I23" s="6" t="n"/>
      <c r="J23" s="6" t="n"/>
      <c r="K23" s="6" t="n"/>
      <c r="L23" s="6" t="n"/>
    </row>
    <row r="24">
      <c r="A24" s="6" t="n"/>
      <c r="B24" s="24" t="n"/>
      <c r="C24" s="6" t="n"/>
      <c r="D24" s="6" t="n"/>
      <c r="E24" s="6" t="n"/>
      <c r="F24" s="8" t="n"/>
      <c r="G24" s="8" t="n"/>
      <c r="H24" s="8" t="n"/>
      <c r="I24" s="6" t="n"/>
      <c r="J24" s="6" t="n"/>
      <c r="K24" s="6" t="n"/>
      <c r="L24" s="6" t="n"/>
    </row>
    <row r="25">
      <c r="A25" s="6" t="n"/>
      <c r="B25" s="24" t="n"/>
      <c r="C25" s="6" t="n"/>
      <c r="D25" s="6" t="n"/>
      <c r="E25" s="6" t="n"/>
      <c r="F25" s="8" t="n"/>
      <c r="G25" s="8" t="n"/>
      <c r="H25" s="8" t="n"/>
      <c r="I25" s="6" t="n"/>
      <c r="J25" s="6" t="n"/>
      <c r="K25" s="6" t="n"/>
      <c r="L25" s="6" t="n"/>
    </row>
    <row r="26">
      <c r="A26" s="6" t="n"/>
      <c r="B26" s="24" t="n"/>
      <c r="C26" s="6" t="n"/>
      <c r="D26" s="6" t="n"/>
      <c r="E26" s="6" t="n"/>
      <c r="F26" s="8" t="n"/>
      <c r="G26" s="8" t="n"/>
      <c r="H26" s="8" t="n"/>
      <c r="I26" s="6" t="n"/>
      <c r="J26" s="6" t="n"/>
      <c r="K26" s="6" t="n"/>
      <c r="L26" s="6" t="n"/>
    </row>
    <row r="27">
      <c r="A27" s="6" t="n"/>
      <c r="B27" s="24" t="n"/>
      <c r="C27" s="6" t="n"/>
      <c r="D27" s="6" t="n"/>
      <c r="E27" s="6" t="n"/>
      <c r="F27" s="8" t="n"/>
      <c r="G27" s="8" t="n"/>
      <c r="H27" s="8" t="n"/>
      <c r="I27" s="6" t="n"/>
      <c r="J27" s="6" t="n"/>
      <c r="K27" s="6" t="n"/>
      <c r="L27" s="6" t="n"/>
    </row>
    <row r="28">
      <c r="A28" s="6" t="n"/>
      <c r="B28" s="24" t="n"/>
      <c r="C28" s="6" t="n"/>
      <c r="D28" s="6" t="n"/>
      <c r="E28" s="6" t="n"/>
      <c r="F28" s="8" t="n"/>
      <c r="G28" s="8" t="n"/>
      <c r="H28" s="8" t="n"/>
      <c r="I28" s="6" t="n"/>
      <c r="J28" s="6" t="n"/>
      <c r="K28" s="6" t="n"/>
      <c r="L28" s="6" t="n"/>
    </row>
    <row r="29">
      <c r="A29" s="6" t="n"/>
      <c r="B29" s="24" t="n"/>
      <c r="C29" s="6" t="n"/>
      <c r="D29" s="6" t="n"/>
      <c r="E29" s="6" t="n"/>
      <c r="F29" s="8" t="n"/>
      <c r="G29" s="8" t="n"/>
      <c r="H29" s="8" t="n"/>
      <c r="I29" s="6" t="n"/>
      <c r="J29" s="6" t="n"/>
      <c r="K29" s="6" t="n"/>
      <c r="L29" s="6" t="n"/>
    </row>
    <row r="30">
      <c r="A30" s="6" t="n"/>
      <c r="B30" s="24" t="n"/>
      <c r="C30" s="6" t="n"/>
      <c r="D30" s="6" t="n"/>
      <c r="E30" s="6" t="n"/>
      <c r="F30" s="8" t="n"/>
      <c r="G30" s="8" t="n"/>
      <c r="H30" s="8" t="n"/>
      <c r="I30" s="6" t="n"/>
      <c r="J30" s="6" t="n"/>
      <c r="K30" s="6" t="n"/>
      <c r="L30" s="6" t="n"/>
    </row>
    <row r="31">
      <c r="A31" s="6" t="n"/>
      <c r="B31" s="24" t="n"/>
      <c r="C31" s="6" t="n"/>
      <c r="D31" s="6" t="n"/>
      <c r="E31" s="6" t="n"/>
      <c r="F31" s="8" t="n"/>
      <c r="G31" s="8" t="n"/>
      <c r="H31" s="8" t="n"/>
      <c r="I31" s="6" t="n"/>
      <c r="J31" s="6" t="n"/>
      <c r="K31" s="6" t="n"/>
      <c r="L31" s="6" t="n"/>
    </row>
    <row r="32">
      <c r="A32" s="6" t="n"/>
      <c r="B32" s="24" t="n"/>
      <c r="C32" s="6" t="n"/>
      <c r="D32" s="6" t="n"/>
      <c r="E32" s="6" t="n"/>
      <c r="F32" s="8" t="n"/>
      <c r="G32" s="8" t="n"/>
      <c r="H32" s="8" t="n"/>
      <c r="I32" s="6" t="n"/>
      <c r="J32" s="6" t="n"/>
      <c r="K32" s="6" t="n"/>
      <c r="L32" s="6" t="n"/>
    </row>
    <row r="33">
      <c r="A33" s="6" t="n"/>
      <c r="B33" s="24" t="n"/>
      <c r="C33" s="6" t="n"/>
      <c r="D33" s="6" t="n"/>
      <c r="E33" s="6" t="n"/>
      <c r="F33" s="8" t="n"/>
      <c r="G33" s="8" t="n"/>
      <c r="H33" s="8" t="n"/>
      <c r="I33" s="6" t="n"/>
      <c r="J33" s="6" t="n"/>
      <c r="K33" s="6" t="n"/>
      <c r="L33" s="6" t="n"/>
    </row>
    <row r="34">
      <c r="A34" s="6" t="n"/>
      <c r="B34" s="24" t="n"/>
      <c r="C34" s="6" t="n"/>
      <c r="D34" s="6" t="n"/>
      <c r="E34" s="6" t="n"/>
      <c r="F34" s="8" t="n"/>
      <c r="G34" s="8" t="n"/>
      <c r="H34" s="8" t="n"/>
      <c r="I34" s="6" t="n"/>
      <c r="J34" s="6" t="n"/>
      <c r="K34" s="6" t="n"/>
      <c r="L34" s="6" t="n"/>
    </row>
    <row r="35">
      <c r="A35" s="6" t="n"/>
      <c r="B35" s="24" t="n"/>
      <c r="C35" s="6" t="n"/>
      <c r="D35" s="6" t="n"/>
      <c r="E35" s="6" t="n"/>
      <c r="F35" s="8" t="n"/>
      <c r="G35" s="8" t="n"/>
      <c r="H35" s="8" t="n"/>
      <c r="I35" s="6" t="n"/>
      <c r="J35" s="6" t="n"/>
      <c r="K35" s="6" t="n"/>
      <c r="L35" s="6" t="n"/>
    </row>
    <row r="36">
      <c r="A36" s="6" t="n"/>
      <c r="B36" s="24" t="n"/>
      <c r="C36" s="6" t="n"/>
      <c r="D36" s="6" t="n"/>
      <c r="E36" s="6" t="n"/>
      <c r="F36" s="8" t="n"/>
      <c r="G36" s="8" t="n"/>
      <c r="H36" s="8" t="n"/>
      <c r="I36" s="6" t="n"/>
      <c r="J36" s="6" t="n"/>
      <c r="K36" s="6" t="n"/>
      <c r="L36" s="6" t="n"/>
    </row>
    <row r="37">
      <c r="A37" s="6" t="n"/>
      <c r="B37" s="24" t="n"/>
      <c r="C37" s="6" t="n"/>
      <c r="D37" s="6" t="n"/>
      <c r="E37" s="6" t="n"/>
      <c r="F37" s="8" t="n"/>
      <c r="G37" s="8" t="n"/>
      <c r="H37" s="8" t="n"/>
      <c r="I37" s="6" t="n"/>
      <c r="J37" s="6" t="n"/>
      <c r="K37" s="6" t="n"/>
      <c r="L37" s="6" t="n"/>
    </row>
    <row r="38">
      <c r="A38" s="6" t="n"/>
      <c r="B38" s="24" t="n"/>
      <c r="C38" s="6" t="n"/>
      <c r="D38" s="6" t="n"/>
      <c r="E38" s="6" t="n"/>
      <c r="F38" s="8" t="n"/>
      <c r="G38" s="8" t="n"/>
      <c r="H38" s="8" t="n"/>
      <c r="I38" s="6" t="n"/>
      <c r="J38" s="6" t="n"/>
      <c r="K38" s="6" t="n"/>
      <c r="L38" s="6" t="n"/>
    </row>
    <row r="39">
      <c r="A39" s="6" t="n"/>
      <c r="B39" s="24" t="n"/>
      <c r="C39" s="6" t="n"/>
      <c r="D39" s="6" t="n"/>
      <c r="E39" s="6" t="n"/>
      <c r="F39" s="8" t="n"/>
      <c r="G39" s="8" t="n"/>
      <c r="H39" s="8" t="n"/>
      <c r="I39" s="6" t="n"/>
      <c r="J39" s="6" t="n"/>
      <c r="K39" s="6" t="n"/>
      <c r="L39" s="6" t="n"/>
    </row>
    <row r="40">
      <c r="A40" s="6" t="n"/>
      <c r="B40" s="24" t="n"/>
      <c r="C40" s="6" t="n"/>
      <c r="D40" s="6" t="n"/>
      <c r="E40" s="6" t="n"/>
      <c r="F40" s="8" t="n"/>
      <c r="G40" s="8" t="n"/>
      <c r="H40" s="8" t="n"/>
      <c r="I40" s="6" t="n"/>
      <c r="J40" s="6" t="n"/>
      <c r="K40" s="6" t="n"/>
      <c r="L40" s="6" t="n"/>
    </row>
    <row r="41">
      <c r="A41" s="6" t="n"/>
      <c r="B41" s="24" t="n"/>
      <c r="C41" s="6" t="n"/>
      <c r="D41" s="6" t="n"/>
      <c r="E41" s="6" t="n"/>
      <c r="F41" s="8" t="n"/>
      <c r="G41" s="8" t="n"/>
      <c r="H41" s="8" t="n"/>
      <c r="I41" s="6" t="n"/>
      <c r="J41" s="6" t="n"/>
      <c r="K41" s="6" t="n"/>
      <c r="L41" s="6" t="n"/>
    </row>
    <row r="42">
      <c r="A42" s="6" t="n"/>
      <c r="B42" s="24" t="n"/>
      <c r="C42" s="6" t="n"/>
      <c r="D42" s="6" t="n"/>
      <c r="E42" s="6" t="n"/>
      <c r="F42" s="8" t="n"/>
      <c r="G42" s="8" t="n"/>
      <c r="H42" s="8" t="n"/>
      <c r="I42" s="6" t="n"/>
      <c r="J42" s="6" t="n"/>
      <c r="K42" s="6" t="n"/>
      <c r="L42" s="6" t="n"/>
    </row>
    <row r="43">
      <c r="A43" s="6" t="n"/>
      <c r="B43" s="24" t="n"/>
      <c r="C43" s="6" t="n"/>
      <c r="D43" s="6" t="n"/>
      <c r="E43" s="6" t="n"/>
      <c r="F43" s="8" t="n"/>
      <c r="G43" s="8" t="n"/>
      <c r="H43" s="8" t="n"/>
      <c r="I43" s="6" t="n"/>
      <c r="J43" s="6" t="n"/>
      <c r="K43" s="6" t="n"/>
      <c r="L43" s="6" t="n"/>
    </row>
    <row r="44">
      <c r="A44" s="6" t="n"/>
      <c r="B44" s="24" t="n"/>
      <c r="C44" s="6" t="n"/>
      <c r="D44" s="6" t="n"/>
      <c r="E44" s="6" t="n"/>
      <c r="F44" s="8" t="n"/>
      <c r="G44" s="8" t="n"/>
      <c r="H44" s="8" t="n"/>
      <c r="I44" s="6" t="n"/>
      <c r="J44" s="6" t="n"/>
      <c r="K44" s="6" t="n"/>
      <c r="L44" s="6" t="n"/>
    </row>
    <row r="45">
      <c r="A45" s="6" t="n"/>
      <c r="B45" s="24" t="n"/>
      <c r="C45" s="6" t="n"/>
      <c r="D45" s="6" t="n"/>
      <c r="E45" s="6" t="n"/>
      <c r="F45" s="8" t="n"/>
      <c r="G45" s="8" t="n"/>
      <c r="H45" s="8" t="n"/>
      <c r="I45" s="6" t="n"/>
      <c r="J45" s="6" t="n"/>
      <c r="K45" s="6" t="n"/>
      <c r="L45" s="6" t="n"/>
    </row>
    <row r="46">
      <c r="A46" s="6" t="n"/>
      <c r="B46" s="24" t="n"/>
      <c r="C46" s="6" t="n"/>
      <c r="D46" s="6" t="n"/>
      <c r="E46" s="6" t="n"/>
      <c r="F46" s="8" t="n"/>
      <c r="G46" s="8" t="n"/>
      <c r="H46" s="8" t="n"/>
      <c r="I46" s="6" t="n"/>
      <c r="J46" s="6" t="n"/>
      <c r="K46" s="6" t="n"/>
      <c r="L46" s="6" t="n"/>
    </row>
    <row r="47">
      <c r="A47" s="6" t="n"/>
      <c r="B47" s="24" t="n"/>
      <c r="C47" s="6" t="n"/>
      <c r="D47" s="6" t="n"/>
      <c r="E47" s="6" t="n"/>
      <c r="F47" s="8" t="n"/>
      <c r="G47" s="8" t="n"/>
      <c r="H47" s="8" t="n"/>
      <c r="I47" s="6" t="n"/>
      <c r="J47" s="6" t="n"/>
      <c r="K47" s="6" t="n"/>
      <c r="L47" s="6" t="n"/>
    </row>
    <row r="48">
      <c r="A48" s="6" t="n"/>
      <c r="B48" s="24" t="n"/>
      <c r="C48" s="6" t="n"/>
      <c r="D48" s="6" t="n"/>
      <c r="E48" s="6" t="n"/>
      <c r="F48" s="8" t="n"/>
      <c r="G48" s="8" t="n"/>
      <c r="H48" s="8" t="n"/>
      <c r="I48" s="6" t="n"/>
      <c r="J48" s="6" t="n"/>
      <c r="K48" s="6" t="n"/>
      <c r="L48" s="6" t="n"/>
    </row>
    <row r="49">
      <c r="A49" s="6" t="n"/>
      <c r="B49" s="24" t="n"/>
      <c r="C49" s="6" t="n"/>
      <c r="D49" s="6" t="n"/>
      <c r="E49" s="6" t="n"/>
      <c r="F49" s="8" t="n"/>
      <c r="G49" s="8" t="n"/>
      <c r="H49" s="8" t="n"/>
      <c r="I49" s="6" t="n"/>
      <c r="J49" s="6" t="n"/>
      <c r="K49" s="6" t="n"/>
      <c r="L49" s="6" t="n"/>
    </row>
    <row r="50">
      <c r="A50" s="6" t="n"/>
      <c r="B50" s="24" t="n"/>
      <c r="C50" s="6" t="n"/>
      <c r="D50" s="6" t="n"/>
      <c r="E50" s="6" t="n"/>
      <c r="F50" s="8" t="n"/>
      <c r="G50" s="8" t="n"/>
      <c r="H50" s="8" t="n"/>
      <c r="I50" s="6" t="n"/>
      <c r="J50" s="6" t="n"/>
      <c r="K50" s="6" t="n"/>
      <c r="L50" s="6" t="n"/>
    </row>
    <row r="51">
      <c r="A51" s="6" t="n"/>
      <c r="B51" s="24" t="n"/>
      <c r="C51" s="6" t="n"/>
      <c r="D51" s="6" t="n"/>
      <c r="E51" s="6" t="n"/>
      <c r="F51" s="8" t="n"/>
      <c r="G51" s="8" t="n"/>
      <c r="H51" s="8" t="n"/>
      <c r="I51" s="6" t="n"/>
      <c r="J51" s="6" t="n"/>
      <c r="K51" s="6" t="n"/>
      <c r="L51" s="6" t="n"/>
    </row>
    <row r="52">
      <c r="A52" s="6" t="n"/>
      <c r="B52" s="24" t="n"/>
      <c r="C52" s="6" t="n"/>
      <c r="D52" s="6" t="n"/>
      <c r="E52" s="6" t="n"/>
      <c r="F52" s="8" t="n"/>
      <c r="G52" s="8" t="n"/>
      <c r="H52" s="8" t="n"/>
      <c r="I52" s="6" t="n"/>
      <c r="J52" s="6" t="n"/>
      <c r="K52" s="6" t="n"/>
      <c r="L52" s="6" t="n"/>
    </row>
    <row r="53">
      <c r="A53" s="6" t="n"/>
      <c r="B53" s="24" t="n"/>
      <c r="C53" s="6" t="n"/>
      <c r="D53" s="6" t="n"/>
      <c r="E53" s="6" t="n"/>
      <c r="F53" s="8" t="n"/>
      <c r="G53" s="8" t="n"/>
      <c r="H53" s="8" t="n"/>
      <c r="I53" s="6" t="n"/>
      <c r="J53" s="6" t="n"/>
      <c r="K53" s="6" t="n"/>
      <c r="L53" s="6" t="n"/>
    </row>
    <row r="54">
      <c r="A54" s="6" t="n"/>
      <c r="B54" s="24" t="n"/>
      <c r="C54" s="6" t="n"/>
      <c r="D54" s="6" t="n"/>
      <c r="E54" s="6" t="n"/>
      <c r="F54" s="8" t="n"/>
      <c r="G54" s="8" t="n"/>
      <c r="H54" s="8" t="n"/>
      <c r="I54" s="6" t="n"/>
      <c r="J54" s="6" t="n"/>
      <c r="K54" s="6" t="n"/>
      <c r="L54" s="6" t="n"/>
    </row>
    <row r="55">
      <c r="A55" s="6" t="n"/>
      <c r="B55" s="24" t="n"/>
      <c r="C55" s="6" t="n"/>
      <c r="D55" s="6" t="n"/>
      <c r="E55" s="6" t="n"/>
      <c r="F55" s="8" t="n"/>
      <c r="G55" s="8" t="n"/>
      <c r="H55" s="8" t="n"/>
      <c r="I55" s="6" t="n"/>
      <c r="J55" s="6" t="n"/>
      <c r="K55" s="6" t="n"/>
      <c r="L55" s="6" t="n"/>
    </row>
    <row r="56">
      <c r="A56" s="6" t="n"/>
      <c r="B56" s="24" t="n"/>
      <c r="C56" s="6" t="n"/>
      <c r="D56" s="6" t="n"/>
      <c r="E56" s="6" t="n"/>
      <c r="F56" s="8" t="n"/>
      <c r="G56" s="8" t="n"/>
      <c r="H56" s="8" t="n"/>
      <c r="I56" s="6" t="n"/>
      <c r="J56" s="6" t="n"/>
      <c r="K56" s="6" t="n"/>
      <c r="L56" s="6" t="n"/>
    </row>
    <row r="57">
      <c r="A57" s="6" t="n"/>
      <c r="B57" s="24" t="n"/>
      <c r="C57" s="6" t="n"/>
      <c r="D57" s="6" t="n"/>
      <c r="E57" s="6" t="n"/>
      <c r="F57" s="8" t="n"/>
      <c r="G57" s="8" t="n"/>
      <c r="H57" s="8" t="n"/>
      <c r="I57" s="6" t="n"/>
      <c r="J57" s="6" t="n"/>
      <c r="K57" s="6" t="n"/>
      <c r="L57" s="6" t="n"/>
    </row>
    <row r="58">
      <c r="A58" s="6" t="n"/>
      <c r="B58" s="24" t="n"/>
      <c r="C58" s="6" t="n"/>
      <c r="D58" s="6" t="n"/>
      <c r="E58" s="6" t="n"/>
      <c r="F58" s="8" t="n"/>
      <c r="G58" s="8" t="n"/>
      <c r="H58" s="8" t="n"/>
      <c r="I58" s="6" t="n"/>
      <c r="J58" s="6" t="n"/>
      <c r="K58" s="6" t="n"/>
      <c r="L58" s="6" t="n"/>
    </row>
    <row r="59">
      <c r="A59" s="6" t="n"/>
      <c r="B59" s="24" t="n"/>
      <c r="C59" s="6" t="n"/>
      <c r="D59" s="6" t="n"/>
      <c r="E59" s="6" t="n"/>
      <c r="F59" s="8" t="n"/>
      <c r="G59" s="8" t="n"/>
      <c r="H59" s="8" t="n"/>
      <c r="I59" s="6" t="n"/>
      <c r="J59" s="6" t="n"/>
      <c r="K59" s="6" t="n"/>
      <c r="L59" s="6" t="n"/>
    </row>
    <row r="60">
      <c r="A60" s="6" t="n"/>
      <c r="B60" s="24" t="n"/>
      <c r="C60" s="6" t="n"/>
      <c r="D60" s="6" t="n"/>
      <c r="E60" s="6" t="n"/>
      <c r="F60" s="8" t="n"/>
      <c r="G60" s="8" t="n"/>
      <c r="H60" s="8" t="n"/>
      <c r="I60" s="6" t="n"/>
      <c r="J60" s="6" t="n"/>
      <c r="K60" s="6" t="n"/>
      <c r="L60" s="6" t="n"/>
    </row>
    <row r="61">
      <c r="A61" s="6" t="n"/>
      <c r="B61" s="24" t="n"/>
      <c r="C61" s="6" t="n"/>
      <c r="D61" s="6" t="n"/>
      <c r="E61" s="6" t="n"/>
      <c r="F61" s="8" t="n"/>
      <c r="G61" s="8" t="n"/>
      <c r="H61" s="8" t="n"/>
      <c r="I61" s="6" t="n"/>
      <c r="J61" s="6" t="n"/>
      <c r="K61" s="6" t="n"/>
      <c r="L61" s="6" t="n"/>
    </row>
    <row r="62">
      <c r="A62" s="6" t="n"/>
      <c r="B62" s="24" t="n"/>
      <c r="C62" s="6" t="n"/>
      <c r="D62" s="6" t="n"/>
      <c r="E62" s="6" t="n"/>
      <c r="F62" s="8" t="n"/>
      <c r="G62" s="8" t="n"/>
      <c r="H62" s="8" t="n"/>
      <c r="I62" s="6" t="n"/>
      <c r="J62" s="6" t="n"/>
      <c r="K62" s="6" t="n"/>
      <c r="L62" s="6" t="n"/>
    </row>
    <row r="63">
      <c r="A63" s="6" t="n"/>
      <c r="B63" s="24" t="n"/>
      <c r="C63" s="6" t="n"/>
      <c r="D63" s="6" t="n"/>
      <c r="E63" s="6" t="n"/>
      <c r="F63" s="8" t="n"/>
      <c r="G63" s="8" t="n"/>
      <c r="H63" s="8" t="n"/>
      <c r="I63" s="6" t="n"/>
      <c r="J63" s="6" t="n"/>
      <c r="K63" s="6" t="n"/>
      <c r="L63" s="6" t="n"/>
    </row>
    <row r="64">
      <c r="A64" s="6" t="n"/>
      <c r="B64" s="24" t="n"/>
      <c r="C64" s="6" t="n"/>
      <c r="D64" s="6" t="n"/>
      <c r="E64" s="6" t="n"/>
      <c r="F64" s="8" t="n"/>
      <c r="G64" s="8" t="n"/>
      <c r="H64" s="8" t="n"/>
      <c r="I64" s="6" t="n"/>
      <c r="J64" s="6" t="n"/>
      <c r="K64" s="6" t="n"/>
      <c r="L64" s="6" t="n"/>
    </row>
    <row r="65">
      <c r="A65" s="6" t="n"/>
      <c r="B65" s="24" t="n"/>
      <c r="C65" s="6" t="n"/>
      <c r="D65" s="6" t="n"/>
      <c r="E65" s="6" t="n"/>
      <c r="F65" s="8" t="n"/>
      <c r="G65" s="8" t="n"/>
      <c r="H65" s="8" t="n"/>
      <c r="I65" s="6" t="n"/>
      <c r="J65" s="6" t="n"/>
      <c r="K65" s="6" t="n"/>
      <c r="L65" s="6" t="n"/>
    </row>
    <row r="66">
      <c r="A66" s="6" t="n"/>
      <c r="B66" s="24" t="n"/>
      <c r="C66" s="6" t="n"/>
      <c r="D66" s="6" t="n"/>
      <c r="E66" s="6" t="n"/>
      <c r="F66" s="8" t="n"/>
      <c r="G66" s="8" t="n"/>
      <c r="H66" s="8" t="n"/>
      <c r="I66" s="6" t="n"/>
      <c r="J66" s="6" t="n"/>
      <c r="K66" s="6" t="n"/>
      <c r="L66" s="6" t="n"/>
    </row>
    <row r="67">
      <c r="A67" s="6" t="n"/>
      <c r="B67" s="24" t="n"/>
      <c r="C67" s="6" t="n"/>
      <c r="D67" s="6" t="n"/>
      <c r="E67" s="6" t="n"/>
      <c r="F67" s="8" t="n"/>
      <c r="G67" s="8" t="n"/>
      <c r="H67" s="8" t="n"/>
      <c r="I67" s="6" t="n"/>
      <c r="J67" s="6" t="n"/>
      <c r="K67" s="6" t="n"/>
      <c r="L67" s="6" t="n"/>
    </row>
    <row r="68">
      <c r="A68" s="6" t="n"/>
      <c r="B68" s="24" t="n"/>
      <c r="C68" s="6" t="n"/>
      <c r="D68" s="6" t="n"/>
      <c r="E68" s="6" t="n"/>
      <c r="F68" s="8" t="n"/>
      <c r="G68" s="8" t="n"/>
      <c r="H68" s="8" t="n"/>
      <c r="I68" s="6" t="n"/>
      <c r="J68" s="6" t="n"/>
      <c r="K68" s="6" t="n"/>
      <c r="L68" s="6" t="n"/>
    </row>
    <row r="69">
      <c r="A69" s="6" t="n"/>
      <c r="B69" s="24" t="n"/>
      <c r="C69" s="6" t="n"/>
      <c r="D69" s="6" t="n"/>
      <c r="E69" s="6" t="n"/>
      <c r="F69" s="8" t="n"/>
      <c r="G69" s="8" t="n"/>
      <c r="H69" s="8" t="n"/>
      <c r="I69" s="6" t="n"/>
      <c r="J69" s="6" t="n"/>
      <c r="K69" s="6" t="n"/>
      <c r="L69" s="6" t="n"/>
    </row>
    <row r="70">
      <c r="A70" s="6" t="n"/>
      <c r="B70" s="24" t="n"/>
      <c r="C70" s="6" t="n"/>
      <c r="D70" s="6" t="n"/>
      <c r="E70" s="6" t="n"/>
      <c r="F70" s="8" t="n"/>
      <c r="G70" s="8" t="n"/>
      <c r="H70" s="8" t="n"/>
      <c r="I70" s="6" t="n"/>
      <c r="J70" s="6" t="n"/>
      <c r="K70" s="6" t="n"/>
      <c r="L70" s="6" t="n"/>
    </row>
    <row r="71">
      <c r="A71" s="6" t="n"/>
      <c r="B71" s="24" t="n"/>
      <c r="C71" s="6" t="n"/>
      <c r="D71" s="6" t="n"/>
      <c r="E71" s="6" t="n"/>
      <c r="F71" s="8" t="n"/>
      <c r="G71" s="8" t="n"/>
      <c r="H71" s="8" t="n"/>
      <c r="I71" s="6" t="n"/>
      <c r="J71" s="6" t="n"/>
      <c r="K71" s="6" t="n"/>
      <c r="L71" s="6" t="n"/>
    </row>
    <row r="72">
      <c r="A72" s="6" t="n"/>
      <c r="B72" s="24" t="n"/>
      <c r="C72" s="6" t="n"/>
      <c r="D72" s="6" t="n"/>
      <c r="E72" s="6" t="n"/>
      <c r="F72" s="8" t="n"/>
      <c r="G72" s="8" t="n"/>
      <c r="H72" s="8" t="n"/>
      <c r="I72" s="6" t="n"/>
      <c r="J72" s="6" t="n"/>
      <c r="K72" s="6" t="n"/>
      <c r="L72" s="6" t="n"/>
    </row>
    <row r="73">
      <c r="A73" s="6" t="n"/>
      <c r="B73" s="24" t="n"/>
      <c r="C73" s="6" t="n"/>
      <c r="D73" s="6" t="n"/>
      <c r="E73" s="6" t="n"/>
      <c r="F73" s="8" t="n"/>
      <c r="G73" s="8" t="n"/>
      <c r="H73" s="8" t="n"/>
      <c r="I73" s="6" t="n"/>
      <c r="J73" s="6" t="n"/>
      <c r="K73" s="6" t="n"/>
      <c r="L73" s="6" t="n"/>
    </row>
    <row r="74">
      <c r="A74" s="6" t="n"/>
      <c r="B74" s="24" t="n"/>
      <c r="C74" s="6" t="n"/>
      <c r="D74" s="6" t="n"/>
      <c r="E74" s="6" t="n"/>
      <c r="F74" s="8" t="n"/>
      <c r="G74" s="8" t="n"/>
      <c r="H74" s="8" t="n"/>
      <c r="I74" s="6" t="n"/>
      <c r="J74" s="6" t="n"/>
      <c r="K74" s="6" t="n"/>
      <c r="L74" s="6" t="n"/>
    </row>
    <row r="75">
      <c r="A75" s="6" t="n"/>
      <c r="B75" s="24" t="n"/>
      <c r="C75" s="6" t="n"/>
      <c r="D75" s="6" t="n"/>
      <c r="E75" s="6" t="n"/>
      <c r="F75" s="8" t="n"/>
      <c r="G75" s="8" t="n"/>
      <c r="H75" s="8" t="n"/>
      <c r="I75" s="6" t="n"/>
      <c r="J75" s="6" t="n"/>
      <c r="K75" s="6" t="n"/>
      <c r="L75" s="6" t="n"/>
    </row>
    <row r="76">
      <c r="A76" s="6" t="n"/>
      <c r="B76" s="24" t="n"/>
      <c r="C76" s="6" t="n"/>
      <c r="D76" s="6" t="n"/>
      <c r="E76" s="6" t="n"/>
      <c r="F76" s="8" t="n"/>
      <c r="G76" s="8" t="n"/>
      <c r="H76" s="8" t="n"/>
      <c r="I76" s="6" t="n"/>
      <c r="J76" s="6" t="n"/>
      <c r="K76" s="6" t="n"/>
      <c r="L76" s="6" t="n"/>
    </row>
    <row r="77">
      <c r="A77" s="6" t="n"/>
      <c r="B77" s="24" t="n"/>
      <c r="C77" s="6" t="n"/>
      <c r="D77" s="6" t="n"/>
      <c r="E77" s="6" t="n"/>
      <c r="F77" s="8" t="n"/>
      <c r="G77" s="8" t="n"/>
      <c r="H77" s="8" t="n"/>
      <c r="I77" s="6" t="n"/>
      <c r="J77" s="6" t="n"/>
      <c r="K77" s="6" t="n"/>
      <c r="L77" s="6" t="n"/>
    </row>
    <row r="78">
      <c r="A78" s="6" t="n"/>
      <c r="B78" s="24" t="n"/>
      <c r="C78" s="6" t="n"/>
      <c r="D78" s="6" t="n"/>
      <c r="E78" s="6" t="n"/>
      <c r="F78" s="8" t="n"/>
      <c r="G78" s="8" t="n"/>
      <c r="H78" s="8" t="n"/>
      <c r="I78" s="6" t="n"/>
      <c r="J78" s="6" t="n"/>
      <c r="K78" s="6" t="n"/>
      <c r="L78" s="6" t="n"/>
    </row>
    <row r="79">
      <c r="A79" s="6" t="n"/>
      <c r="B79" s="24" t="n"/>
      <c r="C79" s="6" t="n"/>
      <c r="D79" s="6" t="n"/>
      <c r="E79" s="6" t="n"/>
      <c r="F79" s="8" t="n"/>
      <c r="G79" s="8" t="n"/>
      <c r="H79" s="8" t="n"/>
      <c r="I79" s="6" t="n"/>
      <c r="J79" s="6" t="n"/>
      <c r="K79" s="6" t="n"/>
      <c r="L79" s="6" t="n"/>
    </row>
    <row r="80">
      <c r="A80" s="6" t="n"/>
      <c r="B80" s="24" t="n"/>
      <c r="C80" s="6" t="n"/>
      <c r="D80" s="6" t="n"/>
      <c r="E80" s="6" t="n"/>
      <c r="F80" s="8" t="n"/>
      <c r="G80" s="8" t="n"/>
      <c r="H80" s="8" t="n"/>
      <c r="I80" s="6" t="n"/>
      <c r="J80" s="6" t="n"/>
      <c r="K80" s="6" t="n"/>
      <c r="L80" s="6" t="n"/>
    </row>
    <row r="81">
      <c r="A81" s="6" t="n"/>
      <c r="B81" s="24" t="n"/>
      <c r="C81" s="6" t="n"/>
      <c r="D81" s="6" t="n"/>
      <c r="E81" s="6" t="n"/>
      <c r="F81" s="8" t="n"/>
      <c r="G81" s="8" t="n"/>
      <c r="H81" s="8" t="n"/>
      <c r="I81" s="6" t="n"/>
      <c r="J81" s="6" t="n"/>
      <c r="K81" s="6" t="n"/>
      <c r="L81" s="6" t="n"/>
    </row>
    <row r="82">
      <c r="A82" s="6" t="n"/>
      <c r="B82" s="24" t="n"/>
      <c r="C82" s="6" t="n"/>
      <c r="D82" s="6" t="n"/>
      <c r="E82" s="6" t="n"/>
      <c r="F82" s="8" t="n"/>
      <c r="G82" s="8" t="n"/>
      <c r="H82" s="8" t="n"/>
      <c r="I82" s="6" t="n"/>
      <c r="J82" s="6" t="n"/>
      <c r="K82" s="6" t="n"/>
      <c r="L82" s="6" t="n"/>
    </row>
    <row r="83">
      <c r="A83" s="6" t="n"/>
      <c r="B83" s="24" t="n"/>
      <c r="C83" s="6" t="n"/>
      <c r="D83" s="6" t="n"/>
      <c r="E83" s="6" t="n"/>
      <c r="F83" s="8" t="n"/>
      <c r="G83" s="8" t="n"/>
      <c r="H83" s="8" t="n"/>
      <c r="I83" s="6" t="n"/>
      <c r="J83" s="6" t="n"/>
      <c r="K83" s="6" t="n"/>
      <c r="L83" s="6" t="n"/>
    </row>
    <row r="84">
      <c r="A84" s="6" t="n"/>
      <c r="B84" s="24" t="n"/>
      <c r="C84" s="6" t="n"/>
      <c r="D84" s="6" t="n"/>
      <c r="E84" s="6" t="n"/>
      <c r="F84" s="8" t="n"/>
      <c r="G84" s="8" t="n"/>
      <c r="H84" s="8" t="n"/>
      <c r="I84" s="6" t="n"/>
      <c r="J84" s="6" t="n"/>
      <c r="K84" s="6" t="n"/>
      <c r="L84" s="6" t="n"/>
    </row>
    <row r="85">
      <c r="A85" s="6" t="n"/>
      <c r="B85" s="24" t="n"/>
      <c r="C85" s="6" t="n"/>
      <c r="D85" s="6" t="n"/>
      <c r="E85" s="6" t="n"/>
      <c r="F85" s="8" t="n"/>
      <c r="G85" s="8" t="n"/>
      <c r="H85" s="8" t="n"/>
      <c r="I85" s="6" t="n"/>
      <c r="J85" s="6" t="n"/>
      <c r="K85" s="6" t="n"/>
      <c r="L85" s="6" t="n"/>
    </row>
    <row r="86">
      <c r="A86" s="6" t="n"/>
      <c r="B86" s="24" t="n"/>
      <c r="C86" s="6" t="n"/>
      <c r="D86" s="6" t="n"/>
      <c r="E86" s="6" t="n"/>
      <c r="F86" s="8" t="n"/>
      <c r="G86" s="8" t="n"/>
      <c r="H86" s="8" t="n"/>
      <c r="I86" s="6" t="n"/>
      <c r="J86" s="6" t="n"/>
      <c r="K86" s="6" t="n"/>
      <c r="L86" s="6" t="n"/>
    </row>
    <row r="87">
      <c r="A87" s="6" t="n"/>
      <c r="B87" s="24" t="n"/>
      <c r="C87" s="6" t="n"/>
      <c r="D87" s="6" t="n"/>
      <c r="E87" s="6" t="n"/>
      <c r="F87" s="8" t="n"/>
      <c r="G87" s="8" t="n"/>
      <c r="H87" s="8" t="n"/>
      <c r="I87" s="6" t="n"/>
      <c r="J87" s="6" t="n"/>
      <c r="K87" s="6" t="n"/>
      <c r="L87" s="6" t="n"/>
    </row>
    <row r="88">
      <c r="A88" s="6" t="n"/>
      <c r="B88" s="24" t="n"/>
      <c r="C88" s="6" t="n"/>
      <c r="D88" s="6" t="n"/>
      <c r="E88" s="6" t="n"/>
      <c r="F88" s="8" t="n"/>
      <c r="G88" s="8" t="n"/>
      <c r="H88" s="8" t="n"/>
      <c r="I88" s="6" t="n"/>
      <c r="J88" s="6" t="n"/>
      <c r="K88" s="6" t="n"/>
      <c r="L88" s="6" t="n"/>
    </row>
    <row r="89">
      <c r="A89" s="6" t="n"/>
      <c r="B89" s="24" t="n"/>
      <c r="C89" s="6" t="n"/>
      <c r="D89" s="6" t="n"/>
      <c r="E89" s="6" t="n"/>
      <c r="F89" s="8" t="n"/>
      <c r="G89" s="8" t="n"/>
      <c r="H89" s="8" t="n"/>
      <c r="I89" s="6" t="n"/>
      <c r="J89" s="6" t="n"/>
      <c r="K89" s="6" t="n"/>
      <c r="L89" s="6" t="n"/>
    </row>
    <row r="90">
      <c r="A90" s="6" t="n"/>
      <c r="B90" s="24" t="n"/>
      <c r="C90" s="6" t="n"/>
      <c r="D90" s="6" t="n"/>
      <c r="E90" s="6" t="n"/>
      <c r="F90" s="8" t="n"/>
      <c r="G90" s="8" t="n"/>
      <c r="H90" s="8" t="n"/>
      <c r="I90" s="6" t="n"/>
      <c r="J90" s="6" t="n"/>
      <c r="K90" s="6" t="n"/>
      <c r="L90" s="6" t="n"/>
    </row>
    <row r="91">
      <c r="A91" s="6" t="n"/>
      <c r="B91" s="24" t="n"/>
      <c r="C91" s="6" t="n"/>
      <c r="D91" s="6" t="n"/>
      <c r="E91" s="6" t="n"/>
      <c r="F91" s="8" t="n"/>
      <c r="G91" s="8" t="n"/>
      <c r="H91" s="8" t="n"/>
      <c r="I91" s="6" t="n"/>
      <c r="J91" s="6" t="n"/>
      <c r="K91" s="6" t="n"/>
      <c r="L91" s="6" t="n"/>
    </row>
    <row r="92">
      <c r="A92" s="6" t="n"/>
      <c r="B92" s="24" t="n"/>
      <c r="C92" s="6" t="n"/>
      <c r="D92" s="6" t="n"/>
      <c r="E92" s="6" t="n"/>
      <c r="F92" s="8" t="n"/>
      <c r="G92" s="8" t="n"/>
      <c r="H92" s="8" t="n"/>
      <c r="I92" s="6" t="n"/>
      <c r="J92" s="6" t="n"/>
      <c r="K92" s="6" t="n"/>
      <c r="L92" s="6" t="n"/>
    </row>
    <row r="93">
      <c r="A93" s="6" t="n"/>
      <c r="B93" s="24" t="n"/>
      <c r="C93" s="6" t="n"/>
      <c r="D93" s="6" t="n"/>
      <c r="E93" s="6" t="n"/>
      <c r="F93" s="8" t="n"/>
      <c r="G93" s="8" t="n"/>
      <c r="H93" s="8" t="n"/>
      <c r="I93" s="6" t="n"/>
      <c r="J93" s="6" t="n"/>
      <c r="K93" s="6" t="n"/>
      <c r="L93" s="6" t="n"/>
    </row>
    <row r="94">
      <c r="A94" s="6" t="n"/>
      <c r="B94" s="24" t="n"/>
      <c r="C94" s="6" t="n"/>
      <c r="D94" s="6" t="n"/>
      <c r="E94" s="6" t="n"/>
      <c r="F94" s="8" t="n"/>
      <c r="G94" s="8" t="n"/>
      <c r="H94" s="8" t="n"/>
      <c r="I94" s="6" t="n"/>
      <c r="J94" s="6" t="n"/>
      <c r="K94" s="6" t="n"/>
      <c r="L94" s="6" t="n"/>
    </row>
    <row r="95">
      <c r="A95" s="6" t="n"/>
      <c r="B95" s="24" t="n"/>
      <c r="C95" s="6" t="n"/>
      <c r="D95" s="6" t="n"/>
      <c r="E95" s="6" t="n"/>
      <c r="F95" s="8" t="n"/>
      <c r="G95" s="8" t="n"/>
      <c r="H95" s="8" t="n"/>
      <c r="I95" s="6" t="n"/>
      <c r="J95" s="6" t="n"/>
      <c r="K95" s="6" t="n"/>
      <c r="L95" s="6" t="n"/>
    </row>
    <row r="96">
      <c r="A96" s="6" t="n"/>
      <c r="B96" s="24" t="n"/>
      <c r="C96" s="6" t="n"/>
      <c r="D96" s="6" t="n"/>
      <c r="E96" s="6" t="n"/>
      <c r="F96" s="8" t="n"/>
      <c r="G96" s="8" t="n"/>
      <c r="H96" s="8" t="n"/>
      <c r="I96" s="6" t="n"/>
      <c r="J96" s="6" t="n"/>
      <c r="K96" s="6" t="n"/>
      <c r="L96" s="6" t="n"/>
    </row>
    <row r="97">
      <c r="A97" s="6" t="n"/>
      <c r="B97" s="24" t="n"/>
      <c r="C97" s="6" t="n"/>
      <c r="D97" s="6" t="n"/>
      <c r="E97" s="6" t="n"/>
      <c r="F97" s="8" t="n"/>
      <c r="G97" s="8" t="n"/>
      <c r="H97" s="8" t="n"/>
      <c r="I97" s="6" t="n"/>
      <c r="J97" s="6" t="n"/>
      <c r="K97" s="6" t="n"/>
      <c r="L97" s="6" t="n"/>
    </row>
    <row r="98">
      <c r="A98" s="6" t="n"/>
      <c r="B98" s="24" t="n"/>
      <c r="C98" s="6" t="n"/>
      <c r="D98" s="6" t="n"/>
      <c r="E98" s="6" t="n"/>
      <c r="F98" s="8" t="n"/>
      <c r="G98" s="8" t="n"/>
      <c r="H98" s="8" t="n"/>
      <c r="I98" s="6" t="n"/>
      <c r="J98" s="6" t="n"/>
      <c r="K98" s="6" t="n"/>
      <c r="L98" s="6" t="n"/>
    </row>
    <row r="99">
      <c r="A99" s="6" t="n"/>
      <c r="B99" s="24" t="n"/>
      <c r="C99" s="6" t="n"/>
      <c r="D99" s="6" t="n"/>
      <c r="E99" s="6" t="n"/>
      <c r="F99" s="8" t="n"/>
      <c r="G99" s="8" t="n"/>
      <c r="H99" s="8" t="n"/>
      <c r="I99" s="6" t="n"/>
      <c r="J99" s="6" t="n"/>
      <c r="K99" s="6" t="n"/>
      <c r="L99" s="6" t="n"/>
    </row>
    <row r="100">
      <c r="A100" s="6" t="n"/>
      <c r="B100" s="24" t="n"/>
      <c r="C100" s="6" t="n"/>
      <c r="D100" s="6" t="n"/>
      <c r="E100" s="6" t="n"/>
      <c r="F100" s="8" t="n"/>
      <c r="G100" s="8" t="n"/>
      <c r="H100" s="8" t="n"/>
      <c r="I100" s="6" t="n"/>
      <c r="J100" s="6" t="n"/>
      <c r="K100" s="6" t="n"/>
      <c r="L100" s="6" t="n"/>
    </row>
    <row r="101">
      <c r="A101" s="6" t="n"/>
      <c r="B101" s="24" t="n"/>
      <c r="C101" s="6" t="n"/>
      <c r="D101" s="6" t="n"/>
      <c r="E101" s="6" t="n"/>
      <c r="F101" s="8" t="n"/>
      <c r="G101" s="8" t="n"/>
      <c r="H101" s="8" t="n"/>
      <c r="I101" s="6" t="n"/>
      <c r="J101" s="6" t="n"/>
      <c r="K101" s="6" t="n"/>
      <c r="L101" s="6" t="n"/>
    </row>
    <row r="102">
      <c r="A102" s="6" t="n"/>
      <c r="B102" s="24" t="n"/>
      <c r="C102" s="6" t="n"/>
      <c r="D102" s="6" t="n"/>
      <c r="E102" s="6" t="n"/>
      <c r="F102" s="8" t="n"/>
      <c r="G102" s="8" t="n"/>
      <c r="H102" s="8" t="n"/>
      <c r="I102" s="6" t="n"/>
      <c r="J102" s="6" t="n"/>
      <c r="K102" s="6" t="n"/>
      <c r="L102" s="6" t="n"/>
    </row>
    <row r="103">
      <c r="A103" s="6" t="n"/>
      <c r="B103" s="24" t="n"/>
      <c r="C103" s="6" t="n"/>
      <c r="D103" s="6" t="n"/>
      <c r="E103" s="6" t="n"/>
      <c r="F103" s="8" t="n"/>
      <c r="G103" s="8" t="n"/>
      <c r="H103" s="8" t="n"/>
      <c r="I103" s="6" t="n"/>
      <c r="J103" s="6" t="n"/>
      <c r="K103" s="6" t="n"/>
      <c r="L103" s="6" t="n"/>
    </row>
    <row r="104">
      <c r="A104" s="6" t="n"/>
      <c r="B104" s="24" t="n"/>
      <c r="C104" s="6" t="n"/>
      <c r="D104" s="6" t="n"/>
      <c r="E104" s="6" t="n"/>
      <c r="F104" s="8" t="n"/>
      <c r="G104" s="8" t="n"/>
      <c r="H104" s="8" t="n"/>
      <c r="I104" s="6" t="n"/>
      <c r="J104" s="6" t="n"/>
      <c r="K104" s="6" t="n"/>
      <c r="L104" s="6" t="n"/>
    </row>
    <row r="105">
      <c r="A105" s="6" t="n"/>
      <c r="B105" s="24" t="n"/>
      <c r="C105" s="6" t="n"/>
      <c r="D105" s="6" t="n"/>
      <c r="E105" s="6" t="n"/>
      <c r="F105" s="8" t="n"/>
      <c r="G105" s="8" t="n"/>
      <c r="H105" s="8" t="n"/>
      <c r="I105" s="6" t="n"/>
      <c r="J105" s="6" t="n"/>
      <c r="K105" s="6" t="n"/>
      <c r="L105" s="6" t="n"/>
    </row>
    <row r="106">
      <c r="A106" s="6" t="n"/>
      <c r="B106" s="24" t="n"/>
      <c r="C106" s="6" t="n"/>
      <c r="D106" s="6" t="n"/>
      <c r="E106" s="6" t="n"/>
      <c r="F106" s="8" t="n"/>
      <c r="G106" s="8" t="n"/>
      <c r="H106" s="8" t="n"/>
      <c r="I106" s="6" t="n"/>
      <c r="J106" s="6" t="n"/>
      <c r="K106" s="6" t="n"/>
      <c r="L106" s="6" t="n"/>
    </row>
    <row r="107">
      <c r="A107" s="6" t="n"/>
      <c r="B107" s="24" t="n"/>
      <c r="C107" s="6" t="n"/>
      <c r="D107" s="6" t="n"/>
      <c r="E107" s="6" t="n"/>
      <c r="F107" s="8" t="n"/>
      <c r="G107" s="8" t="n"/>
      <c r="H107" s="8" t="n"/>
      <c r="I107" s="6" t="n"/>
      <c r="J107" s="6" t="n"/>
      <c r="K107" s="6" t="n"/>
      <c r="L107" s="6" t="n"/>
    </row>
    <row r="108">
      <c r="A108" s="6" t="n"/>
      <c r="B108" s="24" t="n"/>
      <c r="C108" s="6" t="n"/>
      <c r="D108" s="6" t="n"/>
      <c r="E108" s="6" t="n"/>
      <c r="F108" s="8" t="n"/>
      <c r="G108" s="8" t="n"/>
      <c r="H108" s="8" t="n"/>
      <c r="I108" s="6" t="n"/>
      <c r="J108" s="6" t="n"/>
      <c r="K108" s="6" t="n"/>
      <c r="L108" s="6" t="n"/>
    </row>
    <row r="109">
      <c r="A109" s="6" t="n"/>
      <c r="B109" s="24" t="n"/>
      <c r="C109" s="6" t="n"/>
      <c r="D109" s="6" t="n"/>
      <c r="E109" s="6" t="n"/>
      <c r="F109" s="8" t="n"/>
      <c r="G109" s="8" t="n"/>
      <c r="H109" s="8" t="n"/>
      <c r="I109" s="6" t="n"/>
      <c r="J109" s="6" t="n"/>
      <c r="K109" s="6" t="n"/>
      <c r="L109" s="6" t="n"/>
    </row>
    <row r="110">
      <c r="A110" s="6" t="n"/>
      <c r="B110" s="24" t="n"/>
      <c r="C110" s="6" t="n"/>
      <c r="D110" s="6" t="n"/>
      <c r="E110" s="6" t="n"/>
      <c r="F110" s="8" t="n"/>
      <c r="G110" s="8" t="n"/>
      <c r="H110" s="8" t="n"/>
      <c r="I110" s="6" t="n"/>
      <c r="J110" s="6" t="n"/>
      <c r="K110" s="6" t="n"/>
      <c r="L110" s="6" t="n"/>
    </row>
    <row r="111">
      <c r="A111" s="6" t="n"/>
      <c r="B111" s="24" t="n"/>
      <c r="C111" s="6" t="n"/>
      <c r="D111" s="6" t="n"/>
      <c r="E111" s="6" t="n"/>
      <c r="F111" s="8" t="n"/>
      <c r="G111" s="8" t="n"/>
      <c r="H111" s="8" t="n"/>
      <c r="I111" s="6" t="n"/>
      <c r="J111" s="6" t="n"/>
      <c r="K111" s="6" t="n"/>
      <c r="L111" s="6" t="n"/>
    </row>
    <row r="112">
      <c r="A112" s="6" t="n"/>
      <c r="B112" s="24" t="n"/>
      <c r="C112" s="6" t="n"/>
      <c r="D112" s="6" t="n"/>
      <c r="E112" s="6" t="n"/>
      <c r="F112" s="8" t="n"/>
      <c r="G112" s="8" t="n"/>
      <c r="H112" s="8" t="n"/>
      <c r="I112" s="6" t="n"/>
      <c r="J112" s="6" t="n"/>
      <c r="K112" s="6" t="n"/>
      <c r="L112" s="6" t="n"/>
    </row>
    <row r="113">
      <c r="A113" s="6" t="n"/>
      <c r="B113" s="24" t="n"/>
      <c r="C113" s="6" t="n"/>
      <c r="D113" s="6" t="n"/>
      <c r="E113" s="6" t="n"/>
      <c r="F113" s="8" t="n"/>
      <c r="G113" s="8" t="n"/>
      <c r="H113" s="8" t="n"/>
      <c r="I113" s="6" t="n"/>
      <c r="J113" s="6" t="n"/>
      <c r="K113" s="6" t="n"/>
      <c r="L113" s="6" t="n"/>
    </row>
    <row r="114">
      <c r="A114" s="6" t="n"/>
      <c r="B114" s="24" t="n"/>
      <c r="C114" s="6" t="n"/>
      <c r="D114" s="6" t="n"/>
      <c r="E114" s="6" t="n"/>
      <c r="F114" s="8" t="n"/>
      <c r="G114" s="8" t="n"/>
      <c r="H114" s="8" t="n"/>
      <c r="I114" s="6" t="n"/>
      <c r="J114" s="6" t="n"/>
      <c r="K114" s="6" t="n"/>
      <c r="L114" s="6" t="n"/>
    </row>
    <row r="115">
      <c r="A115" s="6" t="n"/>
      <c r="B115" s="24" t="n"/>
      <c r="C115" s="6" t="n"/>
      <c r="D115" s="6" t="n"/>
      <c r="E115" s="6" t="n"/>
      <c r="F115" s="8" t="n"/>
      <c r="G115" s="8" t="n"/>
      <c r="H115" s="8" t="n"/>
      <c r="I115" s="6" t="n"/>
      <c r="J115" s="6" t="n"/>
      <c r="K115" s="6" t="n"/>
      <c r="L115" s="6" t="n"/>
    </row>
    <row r="116">
      <c r="A116" s="6" t="n"/>
      <c r="B116" s="24" t="n"/>
      <c r="C116" s="6" t="n"/>
      <c r="D116" s="6" t="n"/>
      <c r="E116" s="6" t="n"/>
      <c r="F116" s="8" t="n"/>
      <c r="G116" s="8" t="n"/>
      <c r="H116" s="8" t="n"/>
      <c r="I116" s="6" t="n"/>
      <c r="J116" s="6" t="n"/>
      <c r="K116" s="6" t="n"/>
      <c r="L116" s="6" t="n"/>
    </row>
    <row r="117">
      <c r="A117" s="6" t="n"/>
      <c r="B117" s="24" t="n"/>
      <c r="C117" s="6" t="n"/>
      <c r="D117" s="6" t="n"/>
      <c r="E117" s="6" t="n"/>
      <c r="F117" s="8" t="n"/>
      <c r="G117" s="8" t="n"/>
      <c r="H117" s="8" t="n"/>
      <c r="I117" s="6" t="n"/>
      <c r="J117" s="6" t="n"/>
      <c r="K117" s="6" t="n"/>
      <c r="L117" s="6" t="n"/>
    </row>
    <row r="118">
      <c r="A118" s="6" t="n"/>
      <c r="B118" s="24" t="n"/>
      <c r="C118" s="6" t="n"/>
      <c r="D118" s="6" t="n"/>
      <c r="E118" s="6" t="n"/>
      <c r="F118" s="8" t="n"/>
      <c r="G118" s="8" t="n"/>
      <c r="H118" s="8" t="n"/>
      <c r="I118" s="6" t="n"/>
      <c r="J118" s="6" t="n"/>
      <c r="K118" s="6" t="n"/>
      <c r="L118" s="6" t="n"/>
    </row>
    <row r="119">
      <c r="A119" s="6" t="n"/>
      <c r="B119" s="24" t="n"/>
      <c r="C119" s="6" t="n"/>
      <c r="D119" s="6" t="n"/>
      <c r="E119" s="6" t="n"/>
      <c r="F119" s="8" t="n"/>
      <c r="G119" s="8" t="n"/>
      <c r="H119" s="8" t="n"/>
      <c r="I119" s="6" t="n"/>
      <c r="J119" s="6" t="n"/>
      <c r="K119" s="6" t="n"/>
      <c r="L119" s="6" t="n"/>
    </row>
    <row r="120">
      <c r="A120" s="6" t="n"/>
      <c r="B120" s="24" t="n"/>
      <c r="C120" s="6" t="n"/>
      <c r="D120" s="6" t="n"/>
      <c r="E120" s="6" t="n"/>
      <c r="F120" s="8" t="n"/>
      <c r="G120" s="8" t="n"/>
      <c r="H120" s="8" t="n"/>
      <c r="I120" s="6" t="n"/>
      <c r="J120" s="6" t="n"/>
      <c r="K120" s="6" t="n"/>
      <c r="L120" s="6" t="n"/>
    </row>
    <row r="121">
      <c r="A121" s="6" t="n"/>
      <c r="B121" s="24" t="n"/>
      <c r="C121" s="6" t="n"/>
      <c r="D121" s="6" t="n"/>
      <c r="E121" s="6" t="n"/>
      <c r="F121" s="8" t="n"/>
      <c r="G121" s="8" t="n"/>
      <c r="H121" s="8" t="n"/>
      <c r="I121" s="6" t="n"/>
      <c r="J121" s="6" t="n"/>
      <c r="K121" s="6" t="n"/>
      <c r="L121" s="6" t="n"/>
    </row>
    <row r="122">
      <c r="A122" s="6" t="n"/>
      <c r="B122" s="24" t="n"/>
      <c r="C122" s="6" t="n"/>
      <c r="D122" s="6" t="n"/>
      <c r="E122" s="6" t="n"/>
      <c r="F122" s="8" t="n"/>
      <c r="G122" s="8" t="n"/>
      <c r="H122" s="8" t="n"/>
      <c r="I122" s="6" t="n"/>
      <c r="J122" s="6" t="n"/>
      <c r="K122" s="6" t="n"/>
      <c r="L122" s="6" t="n"/>
    </row>
    <row r="123">
      <c r="A123" s="6" t="n"/>
      <c r="B123" s="24" t="n"/>
      <c r="C123" s="6" t="n"/>
      <c r="D123" s="6" t="n"/>
      <c r="E123" s="6" t="n"/>
      <c r="F123" s="8" t="n"/>
      <c r="G123" s="8" t="n"/>
      <c r="H123" s="8" t="n"/>
      <c r="I123" s="6" t="n"/>
      <c r="J123" s="6" t="n"/>
      <c r="K123" s="6" t="n"/>
      <c r="L123" s="6" t="n"/>
    </row>
    <row r="124">
      <c r="A124" s="6" t="n"/>
      <c r="B124" s="24" t="n"/>
      <c r="C124" s="6" t="n"/>
      <c r="D124" s="6" t="n"/>
      <c r="E124" s="6" t="n"/>
      <c r="F124" s="8" t="n"/>
      <c r="G124" s="8" t="n"/>
      <c r="H124" s="8" t="n"/>
      <c r="I124" s="6" t="n"/>
      <c r="J124" s="6" t="n"/>
      <c r="K124" s="6" t="n"/>
      <c r="L124" s="6" t="n"/>
    </row>
    <row r="125">
      <c r="A125" s="6" t="n"/>
      <c r="B125" s="24" t="n"/>
      <c r="C125" s="6" t="n"/>
      <c r="D125" s="6" t="n"/>
      <c r="E125" s="6" t="n"/>
      <c r="F125" s="8" t="n"/>
      <c r="G125" s="8" t="n"/>
      <c r="H125" s="8" t="n"/>
      <c r="I125" s="6" t="n"/>
      <c r="J125" s="6" t="n"/>
      <c r="K125" s="6" t="n"/>
      <c r="L125" s="6" t="n"/>
    </row>
    <row r="126">
      <c r="A126" s="6" t="n"/>
      <c r="B126" s="24" t="n"/>
      <c r="C126" s="6" t="n"/>
      <c r="D126" s="6" t="n"/>
      <c r="E126" s="6" t="n"/>
      <c r="F126" s="8" t="n"/>
      <c r="G126" s="8" t="n"/>
      <c r="H126" s="8" t="n"/>
      <c r="I126" s="6" t="n"/>
      <c r="J126" s="6" t="n"/>
      <c r="K126" s="6" t="n"/>
      <c r="L126" s="6" t="n"/>
    </row>
    <row r="127">
      <c r="A127" s="6" t="n"/>
      <c r="B127" s="24" t="n"/>
      <c r="C127" s="6" t="n"/>
      <c r="D127" s="6" t="n"/>
      <c r="E127" s="6" t="n"/>
      <c r="F127" s="8" t="n"/>
      <c r="G127" s="8" t="n"/>
      <c r="H127" s="8" t="n"/>
      <c r="I127" s="6" t="n"/>
      <c r="J127" s="6" t="n"/>
      <c r="K127" s="6" t="n"/>
      <c r="L127" s="6" t="n"/>
    </row>
    <row r="128">
      <c r="A128" s="6" t="n"/>
      <c r="B128" s="24" t="n"/>
      <c r="C128" s="6" t="n"/>
      <c r="D128" s="6" t="n"/>
      <c r="E128" s="6" t="n"/>
      <c r="F128" s="8" t="n"/>
      <c r="G128" s="8" t="n"/>
      <c r="H128" s="8" t="n"/>
      <c r="I128" s="6" t="n"/>
      <c r="J128" s="6" t="n"/>
      <c r="K128" s="6" t="n"/>
      <c r="L128" s="6" t="n"/>
    </row>
    <row r="129">
      <c r="A129" s="6" t="n"/>
      <c r="B129" s="24" t="n"/>
      <c r="C129" s="6" t="n"/>
      <c r="D129" s="6" t="n"/>
      <c r="E129" s="6" t="n"/>
      <c r="F129" s="8" t="n"/>
      <c r="G129" s="8" t="n"/>
      <c r="H129" s="8" t="n"/>
      <c r="I129" s="6" t="n"/>
      <c r="J129" s="6" t="n"/>
      <c r="K129" s="6" t="n"/>
      <c r="L129" s="6" t="n"/>
    </row>
    <row r="130">
      <c r="A130" s="6" t="n"/>
      <c r="B130" s="24" t="n"/>
      <c r="C130" s="6" t="n"/>
      <c r="D130" s="6" t="n"/>
      <c r="E130" s="6" t="n"/>
      <c r="F130" s="8" t="n"/>
      <c r="G130" s="8" t="n"/>
      <c r="H130" s="8" t="n"/>
      <c r="I130" s="6" t="n"/>
      <c r="J130" s="6" t="n"/>
      <c r="K130" s="6" t="n"/>
      <c r="L130" s="6" t="n"/>
    </row>
    <row r="131">
      <c r="A131" s="6" t="n"/>
      <c r="B131" s="24" t="n"/>
      <c r="C131" s="6" t="n"/>
      <c r="D131" s="6" t="n"/>
      <c r="E131" s="6" t="n"/>
      <c r="F131" s="8" t="n"/>
      <c r="G131" s="8" t="n"/>
      <c r="H131" s="8" t="n"/>
      <c r="I131" s="6" t="n"/>
      <c r="J131" s="6" t="n"/>
      <c r="K131" s="6" t="n"/>
      <c r="L131" s="6" t="n"/>
    </row>
    <row r="132">
      <c r="A132" s="6" t="n"/>
      <c r="B132" s="24" t="n"/>
      <c r="C132" s="6" t="n"/>
      <c r="D132" s="6" t="n"/>
      <c r="E132" s="6" t="n"/>
      <c r="F132" s="8" t="n"/>
      <c r="G132" s="8" t="n"/>
      <c r="H132" s="8" t="n"/>
      <c r="I132" s="6" t="n"/>
      <c r="J132" s="6" t="n"/>
      <c r="K132" s="6" t="n"/>
      <c r="L132" s="6" t="n"/>
    </row>
    <row r="133">
      <c r="A133" s="6" t="n"/>
      <c r="B133" s="24" t="n"/>
      <c r="C133" s="6" t="n"/>
      <c r="D133" s="6" t="n"/>
      <c r="E133" s="6" t="n"/>
      <c r="F133" s="8" t="n"/>
      <c r="G133" s="8" t="n"/>
      <c r="H133" s="8" t="n"/>
      <c r="I133" s="6" t="n"/>
      <c r="J133" s="6" t="n"/>
      <c r="K133" s="6" t="n"/>
      <c r="L133" s="6" t="n"/>
    </row>
    <row r="134">
      <c r="A134" s="6" t="n"/>
      <c r="B134" s="24" t="n"/>
      <c r="C134" s="6" t="n"/>
      <c r="D134" s="6" t="n"/>
      <c r="E134" s="6" t="n"/>
      <c r="F134" s="8" t="n"/>
      <c r="G134" s="8" t="n"/>
      <c r="H134" s="8" t="n"/>
      <c r="I134" s="6" t="n"/>
      <c r="J134" s="6" t="n"/>
      <c r="K134" s="6" t="n"/>
      <c r="L134" s="6" t="n"/>
    </row>
    <row r="135">
      <c r="A135" s="6" t="n"/>
      <c r="B135" s="24" t="n"/>
      <c r="C135" s="6" t="n"/>
      <c r="D135" s="6" t="n"/>
      <c r="E135" s="6" t="n"/>
      <c r="F135" s="8" t="n"/>
      <c r="G135" s="8" t="n"/>
      <c r="H135" s="8" t="n"/>
      <c r="I135" s="6" t="n"/>
      <c r="J135" s="6" t="n"/>
      <c r="K135" s="6" t="n"/>
      <c r="L135" s="6" t="n"/>
    </row>
    <row r="136">
      <c r="A136" s="6" t="n"/>
      <c r="B136" s="24" t="n"/>
      <c r="C136" s="6" t="n"/>
      <c r="D136" s="6" t="n"/>
      <c r="E136" s="6" t="n"/>
      <c r="F136" s="8" t="n"/>
      <c r="G136" s="8" t="n"/>
      <c r="H136" s="8" t="n"/>
      <c r="I136" s="6" t="n"/>
      <c r="J136" s="6" t="n"/>
      <c r="K136" s="6" t="n"/>
      <c r="L136" s="6" t="n"/>
    </row>
    <row r="137">
      <c r="A137" s="6" t="n"/>
      <c r="B137" s="24" t="n"/>
      <c r="C137" s="6" t="n"/>
      <c r="D137" s="6" t="n"/>
      <c r="E137" s="6" t="n"/>
      <c r="F137" s="8" t="n"/>
      <c r="G137" s="8" t="n"/>
      <c r="H137" s="8" t="n"/>
      <c r="I137" s="6" t="n"/>
      <c r="J137" s="6" t="n"/>
      <c r="K137" s="6" t="n"/>
      <c r="L137" s="6" t="n"/>
    </row>
    <row r="138">
      <c r="A138" s="6" t="n"/>
      <c r="B138" s="24" t="n"/>
      <c r="C138" s="6" t="n"/>
      <c r="D138" s="6" t="n"/>
      <c r="E138" s="6" t="n"/>
      <c r="F138" s="8" t="n"/>
      <c r="G138" s="8" t="n"/>
      <c r="H138" s="8" t="n"/>
      <c r="I138" s="6" t="n"/>
      <c r="J138" s="6" t="n"/>
      <c r="K138" s="6" t="n"/>
      <c r="L138" s="6" t="n"/>
    </row>
    <row r="139">
      <c r="A139" s="6" t="n"/>
      <c r="B139" s="24" t="n"/>
      <c r="C139" s="6" t="n"/>
      <c r="D139" s="6" t="n"/>
      <c r="E139" s="6" t="n"/>
      <c r="F139" s="8" t="n"/>
      <c r="G139" s="8" t="n"/>
      <c r="H139" s="8" t="n"/>
      <c r="I139" s="6" t="n"/>
      <c r="J139" s="6" t="n"/>
      <c r="K139" s="6" t="n"/>
      <c r="L139" s="6" t="n"/>
    </row>
    <row r="140">
      <c r="A140" s="6" t="n"/>
      <c r="B140" s="24" t="n"/>
      <c r="C140" s="6" t="n"/>
      <c r="D140" s="6" t="n"/>
      <c r="E140" s="6" t="n"/>
      <c r="F140" s="8" t="n"/>
      <c r="G140" s="8" t="n"/>
      <c r="H140" s="8" t="n"/>
      <c r="I140" s="6" t="n"/>
      <c r="J140" s="6" t="n"/>
      <c r="K140" s="6" t="n"/>
      <c r="L140" s="6" t="n"/>
    </row>
    <row r="141">
      <c r="A141" s="6" t="n"/>
      <c r="B141" s="24" t="n"/>
      <c r="C141" s="6" t="n"/>
      <c r="D141" s="6" t="n"/>
      <c r="E141" s="6" t="n"/>
      <c r="F141" s="8" t="n"/>
      <c r="G141" s="8" t="n"/>
      <c r="H141" s="8" t="n"/>
      <c r="I141" s="6" t="n"/>
      <c r="J141" s="6" t="n"/>
      <c r="K141" s="6" t="n"/>
      <c r="L141" s="6" t="n"/>
    </row>
    <row r="142">
      <c r="A142" s="6" t="n"/>
      <c r="B142" s="24" t="n"/>
      <c r="C142" s="6" t="n"/>
      <c r="D142" s="6" t="n"/>
      <c r="E142" s="6" t="n"/>
      <c r="F142" s="8" t="n"/>
      <c r="G142" s="8" t="n"/>
      <c r="H142" s="8" t="n"/>
      <c r="I142" s="6" t="n"/>
      <c r="J142" s="6" t="n"/>
      <c r="K142" s="6" t="n"/>
      <c r="L142" s="6" t="n"/>
    </row>
    <row r="143">
      <c r="A143" s="6" t="n"/>
      <c r="B143" s="24" t="n"/>
      <c r="C143" s="6" t="n"/>
      <c r="D143" s="6" t="n"/>
      <c r="E143" s="6" t="n"/>
      <c r="F143" s="8" t="n"/>
      <c r="G143" s="8" t="n"/>
      <c r="H143" s="8" t="n"/>
      <c r="I143" s="6" t="n"/>
      <c r="J143" s="6" t="n"/>
      <c r="K143" s="6" t="n"/>
      <c r="L143" s="6" t="n"/>
    </row>
    <row r="144">
      <c r="A144" s="6" t="n"/>
      <c r="B144" s="24" t="n"/>
      <c r="C144" s="6" t="n"/>
      <c r="D144" s="6" t="n"/>
      <c r="E144" s="6" t="n"/>
      <c r="F144" s="8" t="n"/>
      <c r="G144" s="8" t="n"/>
      <c r="H144" s="8" t="n"/>
      <c r="I144" s="6" t="n"/>
      <c r="J144" s="6" t="n"/>
      <c r="K144" s="6" t="n"/>
      <c r="L144" s="6" t="n"/>
    </row>
    <row r="145">
      <c r="A145" s="6" t="n"/>
      <c r="B145" s="24" t="n"/>
      <c r="C145" s="6" t="n"/>
      <c r="D145" s="6" t="n"/>
      <c r="E145" s="6" t="n"/>
      <c r="F145" s="8" t="n"/>
      <c r="G145" s="8" t="n"/>
      <c r="H145" s="8" t="n"/>
      <c r="I145" s="6" t="n"/>
      <c r="J145" s="6" t="n"/>
      <c r="K145" s="6" t="n"/>
      <c r="L145" s="6" t="n"/>
    </row>
    <row r="146">
      <c r="A146" s="6" t="n"/>
      <c r="B146" s="24" t="n"/>
      <c r="C146" s="6" t="n"/>
      <c r="D146" s="6" t="n"/>
      <c r="E146" s="6" t="n"/>
      <c r="F146" s="8" t="n"/>
      <c r="G146" s="8" t="n"/>
      <c r="H146" s="8" t="n"/>
      <c r="I146" s="6" t="n"/>
      <c r="J146" s="6" t="n"/>
      <c r="K146" s="6" t="n"/>
      <c r="L146" s="6" t="n"/>
    </row>
    <row r="147">
      <c r="A147" s="6" t="n"/>
      <c r="B147" s="24" t="n"/>
      <c r="C147" s="6" t="n"/>
      <c r="D147" s="6" t="n"/>
      <c r="E147" s="6" t="n"/>
      <c r="F147" s="8" t="n"/>
      <c r="G147" s="8" t="n"/>
      <c r="H147" s="8" t="n"/>
      <c r="I147" s="6" t="n"/>
      <c r="J147" s="6" t="n"/>
      <c r="K147" s="6" t="n"/>
      <c r="L147" s="6" t="n"/>
    </row>
    <row r="148">
      <c r="A148" s="6" t="n"/>
      <c r="B148" s="24" t="n"/>
      <c r="C148" s="6" t="n"/>
      <c r="D148" s="6" t="n"/>
      <c r="E148" s="6" t="n"/>
      <c r="F148" s="8" t="n"/>
      <c r="G148" s="8" t="n"/>
      <c r="H148" s="8" t="n"/>
      <c r="I148" s="6" t="n"/>
      <c r="J148" s="6" t="n"/>
      <c r="K148" s="6" t="n"/>
      <c r="L148" s="6" t="n"/>
    </row>
    <row r="149">
      <c r="A149" s="6" t="n"/>
      <c r="B149" s="24" t="n"/>
      <c r="C149" s="6" t="n"/>
      <c r="D149" s="6" t="n"/>
      <c r="E149" s="6" t="n"/>
      <c r="F149" s="8" t="n"/>
      <c r="G149" s="8" t="n"/>
      <c r="H149" s="8" t="n"/>
      <c r="I149" s="6" t="n"/>
      <c r="J149" s="6" t="n"/>
      <c r="K149" s="6" t="n"/>
      <c r="L149" s="6" t="n"/>
    </row>
    <row r="150">
      <c r="A150" s="6" t="n"/>
      <c r="B150" s="24" t="n"/>
      <c r="C150" s="6" t="n"/>
      <c r="D150" s="6" t="n"/>
      <c r="E150" s="6" t="n"/>
      <c r="F150" s="8" t="n"/>
      <c r="G150" s="8" t="n"/>
      <c r="H150" s="8" t="n"/>
      <c r="I150" s="6" t="n"/>
      <c r="J150" s="6" t="n"/>
      <c r="K150" s="6" t="n"/>
      <c r="L150" s="6" t="n"/>
    </row>
    <row r="151">
      <c r="A151" s="6" t="n"/>
      <c r="B151" s="24" t="n"/>
      <c r="C151" s="6" t="n"/>
      <c r="D151" s="6" t="n"/>
      <c r="E151" s="6" t="n"/>
      <c r="F151" s="8" t="n"/>
      <c r="G151" s="8" t="n"/>
      <c r="H151" s="8" t="n"/>
      <c r="I151" s="6" t="n"/>
      <c r="J151" s="6" t="n"/>
      <c r="K151" s="6" t="n"/>
      <c r="L151" s="6" t="n"/>
    </row>
    <row r="152">
      <c r="A152" s="6" t="n"/>
      <c r="B152" s="24" t="n"/>
      <c r="C152" s="6" t="n"/>
      <c r="D152" s="6" t="n"/>
      <c r="E152" s="6" t="n"/>
      <c r="F152" s="8" t="n"/>
      <c r="G152" s="8" t="n"/>
      <c r="H152" s="8" t="n"/>
      <c r="I152" s="6" t="n"/>
      <c r="J152" s="6" t="n"/>
      <c r="K152" s="6" t="n"/>
      <c r="L152" s="6" t="n"/>
    </row>
    <row r="153">
      <c r="A153" s="6" t="n"/>
      <c r="B153" s="24" t="n"/>
      <c r="C153" s="6" t="n"/>
      <c r="D153" s="6" t="n"/>
      <c r="E153" s="6" t="n"/>
      <c r="F153" s="8" t="n"/>
      <c r="G153" s="8" t="n"/>
      <c r="H153" s="8" t="n"/>
      <c r="I153" s="6" t="n"/>
      <c r="J153" s="6" t="n"/>
      <c r="K153" s="6" t="n"/>
      <c r="L153" s="6" t="n"/>
    </row>
    <row r="154">
      <c r="A154" s="6" t="n"/>
      <c r="B154" s="24" t="n"/>
      <c r="C154" s="6" t="n"/>
      <c r="D154" s="6" t="n"/>
      <c r="E154" s="6" t="n"/>
      <c r="F154" s="8" t="n"/>
      <c r="G154" s="8" t="n"/>
      <c r="H154" s="8" t="n"/>
      <c r="I154" s="6" t="n"/>
      <c r="J154" s="6" t="n"/>
      <c r="K154" s="6" t="n"/>
      <c r="L154" s="6" t="n"/>
    </row>
    <row r="155">
      <c r="A155" s="6" t="n"/>
      <c r="B155" s="24" t="n"/>
      <c r="C155" s="6" t="n"/>
      <c r="D155" s="6" t="n"/>
      <c r="E155" s="6" t="n"/>
      <c r="F155" s="8" t="n"/>
      <c r="G155" s="8" t="n"/>
      <c r="H155" s="8" t="n"/>
      <c r="I155" s="6" t="n"/>
      <c r="J155" s="6" t="n"/>
      <c r="K155" s="6" t="n"/>
      <c r="L155" s="6" t="n"/>
    </row>
    <row r="156">
      <c r="A156" s="6" t="n"/>
      <c r="B156" s="24" t="n"/>
      <c r="C156" s="6" t="n"/>
      <c r="D156" s="6" t="n"/>
      <c r="E156" s="6" t="n"/>
      <c r="F156" s="8" t="n"/>
      <c r="G156" s="8" t="n"/>
      <c r="H156" s="8" t="n"/>
      <c r="I156" s="6" t="n"/>
      <c r="J156" s="6" t="n"/>
      <c r="K156" s="6" t="n"/>
      <c r="L156" s="6" t="n"/>
    </row>
    <row r="157">
      <c r="A157" s="6" t="n"/>
      <c r="B157" s="24" t="n"/>
      <c r="C157" s="6" t="n"/>
      <c r="D157" s="6" t="n"/>
      <c r="E157" s="6" t="n"/>
      <c r="F157" s="8" t="n"/>
      <c r="G157" s="8" t="n"/>
      <c r="H157" s="8" t="n"/>
      <c r="I157" s="6" t="n"/>
      <c r="J157" s="6" t="n"/>
      <c r="K157" s="6" t="n"/>
      <c r="L157" s="6" t="n"/>
    </row>
    <row r="158">
      <c r="A158" s="6" t="n"/>
      <c r="B158" s="24" t="n"/>
      <c r="C158" s="6" t="n"/>
      <c r="D158" s="6" t="n"/>
      <c r="E158" s="6" t="n"/>
      <c r="F158" s="8" t="n"/>
      <c r="G158" s="8" t="n"/>
      <c r="H158" s="8" t="n"/>
      <c r="I158" s="6" t="n"/>
      <c r="J158" s="6" t="n"/>
      <c r="K158" s="6" t="n"/>
      <c r="L158" s="6" t="n"/>
    </row>
    <row r="159">
      <c r="A159" s="6" t="n"/>
      <c r="B159" s="24" t="n"/>
      <c r="C159" s="6" t="n"/>
      <c r="D159" s="6" t="n"/>
      <c r="E159" s="6" t="n"/>
      <c r="F159" s="8" t="n"/>
      <c r="G159" s="8" t="n"/>
      <c r="H159" s="8" t="n"/>
      <c r="I159" s="6" t="n"/>
      <c r="J159" s="6" t="n"/>
      <c r="K159" s="6" t="n"/>
      <c r="L159" s="6" t="n"/>
    </row>
    <row r="160">
      <c r="A160" s="6" t="n"/>
      <c r="B160" s="24" t="n"/>
      <c r="C160" s="6" t="n"/>
      <c r="D160" s="6" t="n"/>
      <c r="E160" s="6" t="n"/>
      <c r="F160" s="8" t="n"/>
      <c r="G160" s="8" t="n"/>
      <c r="H160" s="8" t="n"/>
      <c r="I160" s="6" t="n"/>
      <c r="J160" s="6" t="n"/>
      <c r="K160" s="6" t="n"/>
      <c r="L160" s="6" t="n"/>
    </row>
    <row r="161">
      <c r="A161" s="6" t="n"/>
      <c r="B161" s="24" t="n"/>
      <c r="C161" s="6" t="n"/>
      <c r="D161" s="6" t="n"/>
      <c r="E161" s="6" t="n"/>
      <c r="F161" s="8" t="n"/>
      <c r="G161" s="8" t="n"/>
      <c r="H161" s="8" t="n"/>
      <c r="I161" s="6" t="n"/>
      <c r="J161" s="6" t="n"/>
      <c r="K161" s="6" t="n"/>
      <c r="L161" s="6" t="n"/>
    </row>
    <row r="162">
      <c r="A162" s="6" t="n"/>
      <c r="B162" s="24" t="n"/>
      <c r="C162" s="6" t="n"/>
      <c r="D162" s="6" t="n"/>
      <c r="E162" s="6" t="n"/>
      <c r="F162" s="8" t="n"/>
      <c r="G162" s="8" t="n"/>
      <c r="H162" s="8" t="n"/>
      <c r="I162" s="6" t="n"/>
      <c r="J162" s="6" t="n"/>
      <c r="K162" s="6" t="n"/>
      <c r="L162" s="6" t="n"/>
    </row>
    <row r="163">
      <c r="A163" s="6" t="n"/>
      <c r="B163" s="24" t="n"/>
      <c r="C163" s="6" t="n"/>
      <c r="D163" s="6" t="n"/>
      <c r="E163" s="6" t="n"/>
      <c r="F163" s="8" t="n"/>
      <c r="G163" s="8" t="n"/>
      <c r="H163" s="8" t="n"/>
      <c r="I163" s="6" t="n"/>
      <c r="J163" s="6" t="n"/>
      <c r="K163" s="6" t="n"/>
      <c r="L163" s="6" t="n"/>
    </row>
    <row r="164">
      <c r="A164" s="6" t="n"/>
      <c r="B164" s="24" t="n"/>
      <c r="C164" s="6" t="n"/>
      <c r="D164" s="6" t="n"/>
      <c r="E164" s="6" t="n"/>
      <c r="F164" s="8" t="n"/>
      <c r="G164" s="8" t="n"/>
      <c r="H164" s="8" t="n"/>
      <c r="I164" s="6" t="n"/>
      <c r="J164" s="6" t="n"/>
      <c r="K164" s="6" t="n"/>
      <c r="L164" s="6" t="n"/>
    </row>
    <row r="165">
      <c r="A165" s="6" t="n"/>
      <c r="B165" s="24" t="n"/>
      <c r="C165" s="6" t="n"/>
      <c r="D165" s="6" t="n"/>
      <c r="E165" s="6" t="n"/>
      <c r="F165" s="8" t="n"/>
      <c r="G165" s="8" t="n"/>
      <c r="H165" s="8" t="n"/>
      <c r="I165" s="6" t="n"/>
      <c r="J165" s="6" t="n"/>
      <c r="K165" s="6" t="n"/>
      <c r="L165" s="6" t="n"/>
    </row>
    <row r="166">
      <c r="A166" s="6" t="n"/>
      <c r="B166" s="24" t="n"/>
      <c r="C166" s="6" t="n"/>
      <c r="D166" s="6" t="n"/>
      <c r="E166" s="6" t="n"/>
      <c r="F166" s="8" t="n"/>
      <c r="G166" s="8" t="n"/>
      <c r="H166" s="8" t="n"/>
      <c r="I166" s="6" t="n"/>
      <c r="J166" s="6" t="n"/>
      <c r="K166" s="6" t="n"/>
      <c r="L166" s="6" t="n"/>
    </row>
    <row r="167">
      <c r="A167" s="6" t="n"/>
      <c r="B167" s="24" t="n"/>
      <c r="C167" s="6" t="n"/>
      <c r="D167" s="6" t="n"/>
      <c r="E167" s="6" t="n"/>
      <c r="F167" s="8" t="n"/>
      <c r="G167" s="8" t="n"/>
      <c r="H167" s="8" t="n"/>
      <c r="I167" s="6" t="n"/>
      <c r="J167" s="6" t="n"/>
      <c r="K167" s="6" t="n"/>
      <c r="L167" s="6" t="n"/>
    </row>
    <row r="168">
      <c r="A168" s="6" t="n"/>
      <c r="B168" s="24" t="n"/>
      <c r="C168" s="6" t="n"/>
      <c r="D168" s="6" t="n"/>
      <c r="E168" s="6" t="n"/>
      <c r="F168" s="8" t="n"/>
      <c r="G168" s="8" t="n"/>
      <c r="H168" s="8" t="n"/>
      <c r="I168" s="6" t="n"/>
      <c r="J168" s="6" t="n"/>
      <c r="K168" s="6" t="n"/>
      <c r="L168" s="6" t="n"/>
    </row>
    <row r="169">
      <c r="A169" s="6" t="n"/>
      <c r="B169" s="24" t="n"/>
      <c r="C169" s="6" t="n"/>
      <c r="D169" s="6" t="n"/>
      <c r="E169" s="6" t="n"/>
      <c r="F169" s="8" t="n"/>
      <c r="G169" s="8" t="n"/>
      <c r="H169" s="8" t="n"/>
      <c r="I169" s="6" t="n"/>
      <c r="J169" s="6" t="n"/>
      <c r="K169" s="6" t="n"/>
      <c r="L169" s="6" t="n"/>
    </row>
    <row r="170">
      <c r="A170" s="6" t="n"/>
      <c r="B170" s="24" t="n"/>
      <c r="C170" s="6" t="n"/>
      <c r="D170" s="6" t="n"/>
      <c r="E170" s="6" t="n"/>
      <c r="F170" s="8" t="n"/>
      <c r="G170" s="8" t="n"/>
      <c r="H170" s="8" t="n"/>
      <c r="I170" s="6" t="n"/>
      <c r="J170" s="6" t="n"/>
      <c r="K170" s="6" t="n"/>
      <c r="L170" s="6" t="n"/>
    </row>
    <row r="171">
      <c r="A171" s="6" t="n"/>
      <c r="B171" s="24" t="n"/>
      <c r="C171" s="6" t="n"/>
      <c r="D171" s="6" t="n"/>
      <c r="E171" s="6" t="n"/>
      <c r="F171" s="8" t="n"/>
      <c r="G171" s="8" t="n"/>
      <c r="H171" s="8" t="n"/>
      <c r="I171" s="6" t="n"/>
      <c r="J171" s="6" t="n"/>
      <c r="K171" s="6" t="n"/>
      <c r="L171" s="6" t="n"/>
    </row>
    <row r="172">
      <c r="A172" s="6" t="n"/>
      <c r="B172" s="24" t="n"/>
      <c r="C172" s="6" t="n"/>
      <c r="D172" s="6" t="n"/>
      <c r="E172" s="6" t="n"/>
      <c r="F172" s="8" t="n"/>
      <c r="G172" s="8" t="n"/>
      <c r="H172" s="8" t="n"/>
      <c r="I172" s="6" t="n"/>
      <c r="J172" s="6" t="n"/>
      <c r="K172" s="6" t="n"/>
      <c r="L172" s="6" t="n"/>
    </row>
    <row r="173">
      <c r="A173" s="6" t="n"/>
      <c r="B173" s="24" t="n"/>
      <c r="C173" s="6" t="n"/>
      <c r="D173" s="6" t="n"/>
      <c r="E173" s="6" t="n"/>
      <c r="F173" s="8" t="n"/>
      <c r="G173" s="8" t="n"/>
      <c r="H173" s="8" t="n"/>
      <c r="I173" s="6" t="n"/>
      <c r="J173" s="6" t="n"/>
      <c r="K173" s="6" t="n"/>
      <c r="L173" s="6" t="n"/>
    </row>
    <row r="174">
      <c r="A174" s="6" t="n"/>
      <c r="B174" s="24" t="n"/>
      <c r="C174" s="6" t="n"/>
      <c r="D174" s="6" t="n"/>
      <c r="E174" s="6" t="n"/>
      <c r="F174" s="8" t="n"/>
      <c r="G174" s="8" t="n"/>
      <c r="H174" s="8" t="n"/>
      <c r="I174" s="6" t="n"/>
      <c r="J174" s="6" t="n"/>
      <c r="K174" s="6" t="n"/>
      <c r="L174" s="6" t="n"/>
    </row>
    <row r="175">
      <c r="A175" s="6" t="n"/>
      <c r="B175" s="24" t="n"/>
      <c r="C175" s="6" t="n"/>
      <c r="D175" s="6" t="n"/>
      <c r="E175" s="6" t="n"/>
      <c r="F175" s="8" t="n"/>
      <c r="G175" s="8" t="n"/>
      <c r="H175" s="8" t="n"/>
      <c r="I175" s="6" t="n"/>
      <c r="J175" s="6" t="n"/>
      <c r="K175" s="6" t="n"/>
      <c r="L175" s="6" t="n"/>
    </row>
    <row r="176">
      <c r="A176" s="6" t="n"/>
      <c r="B176" s="24" t="n"/>
      <c r="C176" s="6" t="n"/>
      <c r="D176" s="6" t="n"/>
      <c r="E176" s="6" t="n"/>
      <c r="F176" s="8" t="n"/>
      <c r="G176" s="8" t="n"/>
      <c r="H176" s="8" t="n"/>
      <c r="I176" s="6" t="n"/>
      <c r="J176" s="6" t="n"/>
      <c r="K176" s="6" t="n"/>
      <c r="L176" s="6" t="n"/>
    </row>
    <row r="177">
      <c r="A177" s="6" t="n"/>
      <c r="B177" s="24" t="n"/>
      <c r="C177" s="6" t="n"/>
      <c r="D177" s="6" t="n"/>
      <c r="E177" s="6" t="n"/>
      <c r="F177" s="8" t="n"/>
      <c r="G177" s="8" t="n"/>
      <c r="H177" s="8" t="n"/>
      <c r="I177" s="6" t="n"/>
      <c r="J177" s="6" t="n"/>
      <c r="K177" s="6" t="n"/>
      <c r="L177" s="6" t="n"/>
    </row>
    <row r="178">
      <c r="A178" s="6" t="n"/>
      <c r="B178" s="24" t="n"/>
      <c r="C178" s="6" t="n"/>
      <c r="D178" s="6" t="n"/>
      <c r="E178" s="6" t="n"/>
      <c r="F178" s="8" t="n"/>
      <c r="G178" s="8" t="n"/>
      <c r="H178" s="8" t="n"/>
      <c r="I178" s="6" t="n"/>
      <c r="J178" s="6" t="n"/>
      <c r="K178" s="6" t="n"/>
      <c r="L178" s="6" t="n"/>
    </row>
    <row r="179">
      <c r="A179" s="6" t="n"/>
      <c r="B179" s="24" t="n"/>
      <c r="C179" s="6" t="n"/>
      <c r="D179" s="6" t="n"/>
      <c r="E179" s="6" t="n"/>
      <c r="F179" s="8" t="n"/>
      <c r="G179" s="8" t="n"/>
      <c r="H179" s="8" t="n"/>
      <c r="I179" s="6" t="n"/>
      <c r="J179" s="6" t="n"/>
      <c r="K179" s="6" t="n"/>
      <c r="L179" s="6" t="n"/>
    </row>
    <row r="180">
      <c r="A180" s="6" t="n"/>
      <c r="B180" s="24" t="n"/>
      <c r="C180" s="6" t="n"/>
      <c r="D180" s="6" t="n"/>
      <c r="E180" s="6" t="n"/>
      <c r="F180" s="8" t="n"/>
      <c r="G180" s="8" t="n"/>
      <c r="H180" s="8" t="n"/>
      <c r="I180" s="6" t="n"/>
      <c r="J180" s="6" t="n"/>
      <c r="K180" s="6" t="n"/>
      <c r="L180" s="6" t="n"/>
    </row>
    <row r="181">
      <c r="A181" s="6" t="n"/>
      <c r="B181" s="24" t="n"/>
      <c r="C181" s="6" t="n"/>
      <c r="D181" s="6" t="n"/>
      <c r="E181" s="6" t="n"/>
      <c r="F181" s="8" t="n"/>
      <c r="G181" s="8" t="n"/>
      <c r="H181" s="8" t="n"/>
      <c r="I181" s="6" t="n"/>
      <c r="J181" s="6" t="n"/>
      <c r="K181" s="6" t="n"/>
      <c r="L181" s="6" t="n"/>
    </row>
    <row r="182">
      <c r="A182" s="6" t="n"/>
      <c r="B182" s="24" t="n"/>
      <c r="C182" s="6" t="n"/>
      <c r="D182" s="6" t="n"/>
      <c r="E182" s="6" t="n"/>
      <c r="F182" s="8" t="n"/>
      <c r="G182" s="8" t="n"/>
      <c r="H182" s="8" t="n"/>
      <c r="I182" s="6" t="n"/>
      <c r="J182" s="6" t="n"/>
      <c r="K182" s="6" t="n"/>
      <c r="L182" s="6" t="n"/>
    </row>
    <row r="183">
      <c r="A183" s="6" t="n"/>
      <c r="B183" s="24" t="n"/>
      <c r="C183" s="6" t="n"/>
      <c r="D183" s="6" t="n"/>
      <c r="E183" s="6" t="n"/>
      <c r="F183" s="8" t="n"/>
      <c r="G183" s="8" t="n"/>
      <c r="H183" s="8" t="n"/>
      <c r="I183" s="6" t="n"/>
      <c r="J183" s="6" t="n"/>
      <c r="K183" s="6" t="n"/>
      <c r="L183" s="6" t="n"/>
    </row>
    <row r="184">
      <c r="A184" s="6" t="n"/>
      <c r="B184" s="24" t="n"/>
      <c r="C184" s="6" t="n"/>
      <c r="D184" s="6" t="n"/>
      <c r="E184" s="6" t="n"/>
      <c r="F184" s="8" t="n"/>
      <c r="G184" s="8" t="n"/>
      <c r="H184" s="8" t="n"/>
      <c r="I184" s="6" t="n"/>
      <c r="J184" s="6" t="n"/>
      <c r="K184" s="6" t="n"/>
      <c r="L184" s="6" t="n"/>
    </row>
    <row r="185">
      <c r="A185" s="6" t="n"/>
      <c r="B185" s="24" t="n"/>
      <c r="C185" s="6" t="n"/>
      <c r="D185" s="6" t="n"/>
      <c r="E185" s="6" t="n"/>
      <c r="F185" s="8" t="n"/>
      <c r="G185" s="8" t="n"/>
      <c r="H185" s="8" t="n"/>
      <c r="I185" s="6" t="n"/>
      <c r="J185" s="6" t="n"/>
      <c r="K185" s="6" t="n"/>
      <c r="L185" s="6" t="n"/>
    </row>
    <row r="186">
      <c r="A186" s="6" t="n"/>
      <c r="B186" s="24" t="n"/>
      <c r="C186" s="6" t="n"/>
      <c r="D186" s="6" t="n"/>
      <c r="E186" s="6" t="n"/>
      <c r="F186" s="8" t="n"/>
      <c r="G186" s="8" t="n"/>
      <c r="H186" s="8" t="n"/>
      <c r="I186" s="6" t="n"/>
      <c r="J186" s="6" t="n"/>
      <c r="K186" s="6" t="n"/>
      <c r="L186" s="6" t="n"/>
    </row>
    <row r="187">
      <c r="A187" s="6" t="n"/>
      <c r="B187" s="24" t="n"/>
      <c r="C187" s="6" t="n"/>
      <c r="D187" s="6" t="n"/>
      <c r="E187" s="6" t="n"/>
      <c r="F187" s="8" t="n"/>
      <c r="G187" s="8" t="n"/>
      <c r="H187" s="8" t="n"/>
      <c r="I187" s="6" t="n"/>
      <c r="J187" s="6" t="n"/>
      <c r="K187" s="6" t="n"/>
      <c r="L187" s="6" t="n"/>
    </row>
    <row r="188">
      <c r="A188" s="6" t="n"/>
      <c r="B188" s="24" t="n"/>
      <c r="C188" s="6" t="n"/>
      <c r="D188" s="6" t="n"/>
      <c r="E188" s="6" t="n"/>
      <c r="F188" s="8" t="n"/>
      <c r="G188" s="8" t="n"/>
      <c r="H188" s="8" t="n"/>
      <c r="I188" s="6" t="n"/>
      <c r="J188" s="6" t="n"/>
      <c r="K188" s="6" t="n"/>
      <c r="L188" s="6" t="n"/>
    </row>
    <row r="189">
      <c r="A189" s="6" t="n"/>
      <c r="B189" s="24" t="n"/>
      <c r="C189" s="6" t="n"/>
      <c r="D189" s="6" t="n"/>
      <c r="E189" s="6" t="n"/>
      <c r="F189" s="8" t="n"/>
      <c r="G189" s="8" t="n"/>
      <c r="H189" s="8" t="n"/>
      <c r="I189" s="6" t="n"/>
      <c r="J189" s="6" t="n"/>
      <c r="K189" s="6" t="n"/>
      <c r="L189" s="6" t="n"/>
    </row>
    <row r="190">
      <c r="A190" s="6" t="n"/>
      <c r="B190" s="24" t="n"/>
      <c r="C190" s="6" t="n"/>
      <c r="D190" s="6" t="n"/>
      <c r="E190" s="6" t="n"/>
      <c r="F190" s="8" t="n"/>
      <c r="G190" s="8" t="n"/>
      <c r="H190" s="8" t="n"/>
      <c r="I190" s="6" t="n"/>
      <c r="J190" s="6" t="n"/>
      <c r="K190" s="6" t="n"/>
      <c r="L190" s="6" t="n"/>
    </row>
    <row r="191">
      <c r="A191" s="6" t="n"/>
      <c r="B191" s="24" t="n"/>
      <c r="C191" s="6" t="n"/>
      <c r="D191" s="6" t="n"/>
      <c r="E191" s="6" t="n"/>
      <c r="F191" s="8" t="n"/>
      <c r="G191" s="8" t="n"/>
      <c r="H191" s="8" t="n"/>
      <c r="I191" s="6" t="n"/>
      <c r="J191" s="6" t="n"/>
      <c r="K191" s="6" t="n"/>
      <c r="L191" s="6" t="n"/>
    </row>
    <row r="192">
      <c r="A192" s="6" t="n"/>
      <c r="B192" s="24" t="n"/>
      <c r="C192" s="6" t="n"/>
      <c r="D192" s="6" t="n"/>
      <c r="E192" s="6" t="n"/>
      <c r="F192" s="8" t="n"/>
      <c r="G192" s="8" t="n"/>
      <c r="H192" s="8" t="n"/>
      <c r="I192" s="6" t="n"/>
      <c r="J192" s="6" t="n"/>
      <c r="K192" s="6" t="n"/>
      <c r="L192" s="6" t="n"/>
    </row>
    <row r="193">
      <c r="A193" s="6" t="n"/>
      <c r="B193" s="24" t="n"/>
      <c r="C193" s="6" t="n"/>
      <c r="D193" s="6" t="n"/>
      <c r="E193" s="6" t="n"/>
      <c r="F193" s="8" t="n"/>
      <c r="G193" s="8" t="n"/>
      <c r="H193" s="8" t="n"/>
      <c r="I193" s="6" t="n"/>
      <c r="J193" s="6" t="n"/>
      <c r="K193" s="6" t="n"/>
      <c r="L193" s="6" t="n"/>
    </row>
    <row r="194">
      <c r="A194" s="6" t="n"/>
      <c r="B194" s="24" t="n"/>
      <c r="C194" s="6" t="n"/>
      <c r="D194" s="6" t="n"/>
      <c r="E194" s="6" t="n"/>
      <c r="F194" s="8" t="n"/>
      <c r="G194" s="8" t="n"/>
      <c r="H194" s="8" t="n"/>
      <c r="I194" s="6" t="n"/>
      <c r="J194" s="6" t="n"/>
      <c r="K194" s="6" t="n"/>
      <c r="L194" s="6" t="n"/>
    </row>
    <row r="195">
      <c r="A195" s="6" t="n"/>
      <c r="B195" s="24" t="n"/>
      <c r="C195" s="6" t="n"/>
      <c r="D195" s="6" t="n"/>
      <c r="E195" s="6" t="n"/>
      <c r="F195" s="8" t="n"/>
      <c r="G195" s="8" t="n"/>
      <c r="H195" s="8" t="n"/>
      <c r="I195" s="6" t="n"/>
      <c r="J195" s="6" t="n"/>
      <c r="K195" s="6" t="n"/>
      <c r="L195" s="6" t="n"/>
    </row>
    <row r="196">
      <c r="A196" s="6" t="n"/>
      <c r="B196" s="24" t="n"/>
      <c r="C196" s="6" t="n"/>
      <c r="D196" s="6" t="n"/>
      <c r="E196" s="6" t="n"/>
      <c r="F196" s="8" t="n"/>
      <c r="G196" s="8" t="n"/>
      <c r="H196" s="8" t="n"/>
      <c r="I196" s="6" t="n"/>
      <c r="J196" s="6" t="n"/>
      <c r="K196" s="6" t="n"/>
      <c r="L196" s="6" t="n"/>
    </row>
    <row r="197">
      <c r="A197" s="6" t="n"/>
      <c r="B197" s="24" t="n"/>
      <c r="C197" s="6" t="n"/>
      <c r="D197" s="6" t="n"/>
      <c r="E197" s="6" t="n"/>
      <c r="F197" s="8" t="n"/>
      <c r="G197" s="8" t="n"/>
      <c r="H197" s="8" t="n"/>
      <c r="I197" s="6" t="n"/>
      <c r="J197" s="6" t="n"/>
      <c r="K197" s="6" t="n"/>
      <c r="L197" s="6" t="n"/>
    </row>
    <row r="198">
      <c r="A198" s="6" t="n"/>
      <c r="B198" s="24" t="n"/>
      <c r="C198" s="6" t="n"/>
      <c r="D198" s="6" t="n"/>
      <c r="E198" s="6" t="n"/>
      <c r="F198" s="8" t="n"/>
      <c r="G198" s="8" t="n"/>
      <c r="H198" s="8" t="n"/>
      <c r="I198" s="6" t="n"/>
      <c r="J198" s="6" t="n"/>
      <c r="K198" s="6" t="n"/>
      <c r="L198" s="6" t="n"/>
    </row>
    <row r="199">
      <c r="A199" s="6" t="n"/>
      <c r="B199" s="24" t="n"/>
      <c r="C199" s="6" t="n"/>
      <c r="D199" s="6" t="n"/>
      <c r="E199" s="6" t="n"/>
      <c r="F199" s="8" t="n"/>
      <c r="G199" s="8" t="n"/>
      <c r="H199" s="8" t="n"/>
      <c r="I199" s="6" t="n"/>
      <c r="J199" s="6" t="n"/>
      <c r="K199" s="6" t="n"/>
      <c r="L199" s="6" t="n"/>
    </row>
    <row r="200">
      <c r="A200" s="6" t="n"/>
      <c r="B200" s="24" t="n"/>
      <c r="C200" s="6" t="n"/>
      <c r="D200" s="6" t="n"/>
      <c r="E200" s="6" t="n"/>
      <c r="F200" s="8" t="n"/>
      <c r="G200" s="8" t="n"/>
      <c r="H200" s="8" t="n"/>
      <c r="I200" s="6" t="n"/>
      <c r="J200" s="6" t="n"/>
      <c r="K200" s="6" t="n"/>
      <c r="L200" s="6" t="n"/>
    </row>
    <row r="201">
      <c r="A201" s="6" t="n"/>
      <c r="B201" s="24" t="n"/>
      <c r="C201" s="6" t="n"/>
      <c r="D201" s="6" t="n"/>
      <c r="E201" s="6" t="n"/>
      <c r="F201" s="8" t="n"/>
      <c r="G201" s="8" t="n"/>
      <c r="H201" s="8" t="n"/>
      <c r="I201" s="6" t="n"/>
      <c r="J201" s="6" t="n"/>
      <c r="K201" s="6" t="n"/>
      <c r="L201" s="6" t="n"/>
    </row>
    <row r="202">
      <c r="A202" s="6" t="n"/>
      <c r="B202" s="24" t="n"/>
      <c r="C202" s="6" t="n"/>
      <c r="D202" s="6" t="n"/>
      <c r="E202" s="6" t="n"/>
      <c r="F202" s="8" t="n"/>
      <c r="G202" s="8" t="n"/>
      <c r="H202" s="8" t="n"/>
      <c r="I202" s="6" t="n"/>
      <c r="J202" s="6" t="n"/>
      <c r="K202" s="6" t="n"/>
      <c r="L202" s="6" t="n"/>
    </row>
    <row r="203">
      <c r="A203" s="6" t="n"/>
      <c r="B203" s="24" t="n"/>
      <c r="C203" s="6" t="n"/>
      <c r="D203" s="6" t="n"/>
      <c r="E203" s="6" t="n"/>
      <c r="F203" s="8" t="n"/>
      <c r="G203" s="8" t="n"/>
      <c r="H203" s="8" t="n"/>
      <c r="I203" s="6" t="n"/>
      <c r="J203" s="6" t="n"/>
      <c r="K203" s="6" t="n"/>
      <c r="L203" s="6" t="n"/>
    </row>
    <row r="204">
      <c r="A204" s="6" t="n"/>
      <c r="B204" s="24" t="n"/>
      <c r="C204" s="6" t="n"/>
      <c r="D204" s="6" t="n"/>
      <c r="E204" s="6" t="n"/>
      <c r="F204" s="8" t="n"/>
      <c r="G204" s="8" t="n"/>
      <c r="H204" s="8" t="n"/>
      <c r="I204" s="6" t="n"/>
      <c r="J204" s="6" t="n"/>
      <c r="K204" s="6" t="n"/>
      <c r="L204" s="6" t="n"/>
    </row>
    <row r="205">
      <c r="A205" s="6" t="n"/>
      <c r="B205" s="24" t="n"/>
      <c r="C205" s="6" t="n"/>
      <c r="D205" s="6" t="n"/>
      <c r="E205" s="6" t="n"/>
      <c r="F205" s="8" t="n"/>
      <c r="G205" s="8" t="n"/>
      <c r="H205" s="8" t="n"/>
      <c r="I205" s="6" t="n"/>
      <c r="J205" s="6" t="n"/>
      <c r="K205" s="6" t="n"/>
      <c r="L205" s="6" t="n"/>
    </row>
    <row r="206">
      <c r="A206" s="6" t="n"/>
      <c r="B206" s="24" t="n"/>
      <c r="C206" s="6" t="n"/>
      <c r="D206" s="6" t="n"/>
      <c r="E206" s="6" t="n"/>
      <c r="F206" s="8" t="n"/>
      <c r="G206" s="8" t="n"/>
      <c r="H206" s="8" t="n"/>
      <c r="I206" s="6" t="n"/>
      <c r="J206" s="6" t="n"/>
      <c r="K206" s="6" t="n"/>
      <c r="L206" s="6" t="n"/>
    </row>
    <row r="207">
      <c r="A207" s="6" t="n"/>
      <c r="B207" s="24" t="n"/>
      <c r="C207" s="6" t="n"/>
      <c r="D207" s="6" t="n"/>
      <c r="E207" s="6" t="n"/>
      <c r="F207" s="8" t="n"/>
      <c r="G207" s="8" t="n"/>
      <c r="H207" s="8" t="n"/>
      <c r="I207" s="6" t="n"/>
      <c r="J207" s="6" t="n"/>
      <c r="K207" s="6" t="n"/>
      <c r="L207" s="6" t="n"/>
    </row>
    <row r="208">
      <c r="A208" s="6" t="n"/>
      <c r="B208" s="24" t="n"/>
      <c r="C208" s="6" t="n"/>
      <c r="D208" s="6" t="n"/>
      <c r="E208" s="6" t="n"/>
      <c r="F208" s="8" t="n"/>
      <c r="G208" s="8" t="n"/>
      <c r="H208" s="8" t="n"/>
      <c r="I208" s="6" t="n"/>
      <c r="J208" s="6" t="n"/>
      <c r="K208" s="6" t="n"/>
      <c r="L208" s="6" t="n"/>
    </row>
    <row r="209">
      <c r="A209" s="6" t="n"/>
      <c r="B209" s="24" t="n"/>
      <c r="C209" s="6" t="n"/>
      <c r="D209" s="6" t="n"/>
      <c r="E209" s="6" t="n"/>
      <c r="F209" s="8" t="n"/>
      <c r="G209" s="8" t="n"/>
      <c r="H209" s="8" t="n"/>
      <c r="I209" s="6" t="n"/>
      <c r="J209" s="6" t="n"/>
      <c r="K209" s="6" t="n"/>
      <c r="L209" s="6" t="n"/>
    </row>
    <row r="210">
      <c r="A210" s="6" t="n"/>
      <c r="B210" s="24" t="n"/>
      <c r="C210" s="6" t="n"/>
      <c r="D210" s="6" t="n"/>
      <c r="E210" s="6" t="n"/>
      <c r="F210" s="8" t="n"/>
      <c r="G210" s="8" t="n"/>
      <c r="H210" s="8" t="n"/>
      <c r="I210" s="6" t="n"/>
      <c r="J210" s="6" t="n"/>
      <c r="K210" s="6" t="n"/>
      <c r="L210" s="6" t="n"/>
    </row>
    <row r="211">
      <c r="A211" s="6" t="n"/>
      <c r="B211" s="24" t="n"/>
      <c r="C211" s="6" t="n"/>
      <c r="D211" s="6" t="n"/>
      <c r="E211" s="6" t="n"/>
      <c r="F211" s="8" t="n"/>
      <c r="G211" s="8" t="n"/>
      <c r="H211" s="8" t="n"/>
      <c r="I211" s="6" t="n"/>
      <c r="J211" s="6" t="n"/>
      <c r="K211" s="6" t="n"/>
      <c r="L211" s="6" t="n"/>
    </row>
    <row r="212">
      <c r="A212" s="6" t="n"/>
      <c r="B212" s="24" t="n"/>
      <c r="C212" s="6" t="n"/>
      <c r="D212" s="6" t="n"/>
      <c r="E212" s="6" t="n"/>
      <c r="F212" s="8" t="n"/>
      <c r="G212" s="8" t="n"/>
      <c r="H212" s="8" t="n"/>
      <c r="I212" s="6" t="n"/>
      <c r="J212" s="6" t="n"/>
      <c r="K212" s="6" t="n"/>
      <c r="L212" s="6" t="n"/>
    </row>
    <row r="213">
      <c r="A213" s="6" t="n"/>
      <c r="B213" s="24" t="n"/>
      <c r="C213" s="6" t="n"/>
      <c r="D213" s="6" t="n"/>
      <c r="E213" s="6" t="n"/>
      <c r="F213" s="8" t="n"/>
      <c r="G213" s="8" t="n"/>
      <c r="H213" s="8" t="n"/>
      <c r="I213" s="6" t="n"/>
      <c r="J213" s="6" t="n"/>
      <c r="K213" s="6" t="n"/>
      <c r="L213" s="6" t="n"/>
    </row>
    <row r="214">
      <c r="A214" s="6" t="n"/>
      <c r="B214" s="24" t="n"/>
      <c r="C214" s="6" t="n"/>
      <c r="D214" s="6" t="n"/>
      <c r="E214" s="6" t="n"/>
      <c r="F214" s="8" t="n"/>
      <c r="G214" s="8" t="n"/>
      <c r="H214" s="8" t="n"/>
      <c r="I214" s="6" t="n"/>
      <c r="J214" s="6" t="n"/>
      <c r="K214" s="6" t="n"/>
      <c r="L214" s="6" t="n"/>
    </row>
    <row r="215">
      <c r="A215" s="6" t="n"/>
      <c r="B215" s="24" t="n"/>
      <c r="C215" s="6" t="n"/>
      <c r="D215" s="6" t="n"/>
      <c r="E215" s="6" t="n"/>
      <c r="F215" s="8" t="n"/>
      <c r="G215" s="8" t="n"/>
      <c r="H215" s="8" t="n"/>
      <c r="I215" s="6" t="n"/>
      <c r="J215" s="6" t="n"/>
      <c r="K215" s="6" t="n"/>
      <c r="L215" s="6" t="n"/>
    </row>
    <row r="216">
      <c r="A216" s="6" t="n"/>
      <c r="B216" s="24" t="n"/>
      <c r="C216" s="6" t="n"/>
      <c r="D216" s="6" t="n"/>
      <c r="E216" s="6" t="n"/>
      <c r="F216" s="8" t="n"/>
      <c r="G216" s="8" t="n"/>
      <c r="H216" s="8" t="n"/>
      <c r="I216" s="6" t="n"/>
      <c r="J216" s="6" t="n"/>
      <c r="K216" s="6" t="n"/>
      <c r="L216" s="6" t="n"/>
    </row>
    <row r="217">
      <c r="A217" s="6" t="n"/>
      <c r="B217" s="24" t="n"/>
      <c r="C217" s="6" t="n"/>
      <c r="D217" s="6" t="n"/>
      <c r="E217" s="6" t="n"/>
      <c r="F217" s="8" t="n"/>
      <c r="G217" s="8" t="n"/>
      <c r="H217" s="8" t="n"/>
      <c r="I217" s="6" t="n"/>
      <c r="J217" s="6" t="n"/>
      <c r="K217" s="6" t="n"/>
      <c r="L217" s="6" t="n"/>
    </row>
    <row r="218">
      <c r="A218" s="6" t="n"/>
      <c r="B218" s="24" t="n"/>
      <c r="C218" s="6" t="n"/>
      <c r="D218" s="6" t="n"/>
      <c r="E218" s="6" t="n"/>
      <c r="F218" s="8" t="n"/>
      <c r="G218" s="8" t="n"/>
      <c r="H218" s="8" t="n"/>
      <c r="I218" s="6" t="n"/>
      <c r="J218" s="6" t="n"/>
      <c r="K218" s="6" t="n"/>
      <c r="L218" s="6" t="n"/>
    </row>
    <row r="219">
      <c r="A219" s="6" t="n"/>
      <c r="B219" s="24" t="n"/>
      <c r="C219" s="6" t="n"/>
      <c r="D219" s="6" t="n"/>
      <c r="E219" s="6" t="n"/>
      <c r="F219" s="8" t="n"/>
      <c r="G219" s="8" t="n"/>
      <c r="H219" s="8" t="n"/>
      <c r="I219" s="6" t="n"/>
      <c r="J219" s="6" t="n"/>
      <c r="K219" s="6" t="n"/>
      <c r="L219" s="6" t="n"/>
    </row>
    <row r="220">
      <c r="A220" s="6" t="n"/>
      <c r="B220" s="24" t="n"/>
      <c r="C220" s="6" t="n"/>
      <c r="D220" s="6" t="n"/>
      <c r="E220" s="6" t="n"/>
      <c r="F220" s="8" t="n"/>
      <c r="G220" s="8" t="n"/>
      <c r="H220" s="8" t="n"/>
      <c r="I220" s="6" t="n"/>
      <c r="J220" s="6" t="n"/>
      <c r="K220" s="6" t="n"/>
      <c r="L220" s="6" t="n"/>
    </row>
    <row r="221">
      <c r="A221" s="6" t="n"/>
      <c r="B221" s="24" t="n"/>
      <c r="C221" s="6" t="n"/>
      <c r="D221" s="6" t="n"/>
      <c r="E221" s="6" t="n"/>
      <c r="F221" s="8" t="n"/>
      <c r="G221" s="8" t="n"/>
      <c r="H221" s="8" t="n"/>
      <c r="I221" s="6" t="n"/>
      <c r="J221" s="6" t="n"/>
      <c r="K221" s="6" t="n"/>
      <c r="L221" s="6" t="n"/>
    </row>
    <row r="222">
      <c r="A222" s="6" t="n"/>
      <c r="B222" s="24" t="n"/>
      <c r="C222" s="6" t="n"/>
      <c r="D222" s="6" t="n"/>
      <c r="E222" s="6" t="n"/>
      <c r="F222" s="8" t="n"/>
      <c r="G222" s="8" t="n"/>
      <c r="H222" s="8" t="n"/>
      <c r="I222" s="6" t="n"/>
      <c r="J222" s="6" t="n"/>
      <c r="K222" s="6" t="n"/>
      <c r="L222" s="6" t="n"/>
    </row>
    <row r="223">
      <c r="A223" s="6" t="n"/>
      <c r="B223" s="24" t="n"/>
      <c r="C223" s="6" t="n"/>
      <c r="D223" s="6" t="n"/>
      <c r="E223" s="6" t="n"/>
      <c r="F223" s="8" t="n"/>
      <c r="G223" s="8" t="n"/>
      <c r="H223" s="8" t="n"/>
      <c r="I223" s="6" t="n"/>
      <c r="J223" s="6" t="n"/>
      <c r="K223" s="6" t="n"/>
      <c r="L223" s="6" t="n"/>
    </row>
    <row r="224">
      <c r="A224" s="6" t="n"/>
      <c r="B224" s="24" t="n"/>
      <c r="C224" s="6" t="n"/>
      <c r="D224" s="6" t="n"/>
      <c r="E224" s="6" t="n"/>
      <c r="F224" s="8" t="n"/>
      <c r="G224" s="8" t="n"/>
      <c r="H224" s="8" t="n"/>
      <c r="I224" s="6" t="n"/>
      <c r="J224" s="6" t="n"/>
      <c r="K224" s="6" t="n"/>
      <c r="L224" s="6" t="n"/>
    </row>
    <row r="225">
      <c r="A225" s="6" t="n"/>
      <c r="B225" s="24" t="n"/>
      <c r="C225" s="6" t="n"/>
      <c r="D225" s="6" t="n"/>
      <c r="E225" s="6" t="n"/>
      <c r="F225" s="8" t="n"/>
      <c r="G225" s="8" t="n"/>
      <c r="H225" s="8" t="n"/>
      <c r="I225" s="6" t="n"/>
      <c r="J225" s="6" t="n"/>
      <c r="K225" s="6" t="n"/>
      <c r="L225" s="6" t="n"/>
    </row>
    <row r="226">
      <c r="A226" s="6" t="n"/>
      <c r="B226" s="24" t="n"/>
      <c r="C226" s="6" t="n"/>
      <c r="D226" s="6" t="n"/>
      <c r="E226" s="6" t="n"/>
      <c r="F226" s="8" t="n"/>
      <c r="G226" s="8" t="n"/>
      <c r="H226" s="8" t="n"/>
      <c r="I226" s="6" t="n"/>
      <c r="J226" s="6" t="n"/>
      <c r="K226" s="6" t="n"/>
      <c r="L226" s="6" t="n"/>
    </row>
    <row r="227">
      <c r="A227" s="6" t="n"/>
      <c r="B227" s="24" t="n"/>
      <c r="C227" s="6" t="n"/>
      <c r="D227" s="6" t="n"/>
      <c r="E227" s="6" t="n"/>
      <c r="F227" s="8" t="n"/>
      <c r="G227" s="8" t="n"/>
      <c r="H227" s="8" t="n"/>
      <c r="I227" s="6" t="n"/>
      <c r="J227" s="6" t="n"/>
      <c r="K227" s="6" t="n"/>
      <c r="L227" s="6" t="n"/>
    </row>
    <row r="228">
      <c r="A228" s="6" t="n"/>
      <c r="B228" s="24" t="n"/>
      <c r="C228" s="6" t="n"/>
      <c r="D228" s="6" t="n"/>
      <c r="E228" s="6" t="n"/>
      <c r="F228" s="8" t="n"/>
      <c r="G228" s="8" t="n"/>
      <c r="H228" s="8" t="n"/>
      <c r="I228" s="6" t="n"/>
      <c r="J228" s="6" t="n"/>
      <c r="K228" s="6" t="n"/>
      <c r="L228" s="6" t="n"/>
    </row>
    <row r="229">
      <c r="A229" s="6" t="n"/>
      <c r="B229" s="24" t="n"/>
      <c r="C229" s="6" t="n"/>
      <c r="D229" s="6" t="n"/>
      <c r="E229" s="6" t="n"/>
      <c r="F229" s="8" t="n"/>
      <c r="G229" s="8" t="n"/>
      <c r="H229" s="8" t="n"/>
      <c r="I229" s="6" t="n"/>
      <c r="J229" s="6" t="n"/>
      <c r="K229" s="6" t="n"/>
      <c r="L229" s="6" t="n"/>
    </row>
    <row r="230">
      <c r="A230" s="6" t="n"/>
      <c r="B230" s="24" t="n"/>
      <c r="C230" s="6" t="n"/>
      <c r="D230" s="6" t="n"/>
      <c r="E230" s="6" t="n"/>
      <c r="F230" s="8" t="n"/>
      <c r="G230" s="8" t="n"/>
      <c r="H230" s="8" t="n"/>
      <c r="I230" s="6" t="n"/>
      <c r="J230" s="6" t="n"/>
      <c r="K230" s="6" t="n"/>
      <c r="L230" s="6" t="n"/>
    </row>
    <row r="231">
      <c r="A231" s="6" t="n"/>
      <c r="B231" s="24" t="n"/>
      <c r="C231" s="6" t="n"/>
      <c r="D231" s="6" t="n"/>
      <c r="E231" s="6" t="n"/>
      <c r="F231" s="8" t="n"/>
      <c r="G231" s="8" t="n"/>
      <c r="H231" s="8" t="n"/>
      <c r="I231" s="6" t="n"/>
      <c r="J231" s="6" t="n"/>
      <c r="K231" s="6" t="n"/>
      <c r="L231" s="6" t="n"/>
    </row>
    <row r="232">
      <c r="A232" s="6" t="n"/>
      <c r="B232" s="24" t="n"/>
      <c r="C232" s="6" t="n"/>
      <c r="D232" s="6" t="n"/>
      <c r="E232" s="6" t="n"/>
      <c r="F232" s="8" t="n"/>
      <c r="G232" s="8" t="n"/>
      <c r="H232" s="8" t="n"/>
      <c r="I232" s="6" t="n"/>
      <c r="J232" s="6" t="n"/>
      <c r="K232" s="6" t="n"/>
      <c r="L232" s="6" t="n"/>
    </row>
    <row r="233">
      <c r="A233" s="6" t="n"/>
      <c r="B233" s="24" t="n"/>
      <c r="C233" s="6" t="n"/>
      <c r="D233" s="6" t="n"/>
      <c r="E233" s="6" t="n"/>
      <c r="F233" s="8" t="n"/>
      <c r="G233" s="8" t="n"/>
      <c r="H233" s="8" t="n"/>
      <c r="I233" s="6" t="n"/>
      <c r="J233" s="6" t="n"/>
      <c r="K233" s="6" t="n"/>
      <c r="L233" s="6" t="n"/>
    </row>
    <row r="234">
      <c r="A234" s="6" t="n"/>
      <c r="B234" s="24" t="n"/>
      <c r="C234" s="6" t="n"/>
      <c r="D234" s="6" t="n"/>
      <c r="E234" s="6" t="n"/>
      <c r="F234" s="8" t="n"/>
      <c r="G234" s="8" t="n"/>
      <c r="H234" s="8" t="n"/>
      <c r="I234" s="6" t="n"/>
      <c r="J234" s="6" t="n"/>
      <c r="K234" s="6" t="n"/>
      <c r="L234" s="6" t="n"/>
    </row>
    <row r="235">
      <c r="A235" s="6" t="n"/>
      <c r="B235" s="24" t="n"/>
      <c r="C235" s="6" t="n"/>
      <c r="D235" s="6" t="n"/>
      <c r="E235" s="6" t="n"/>
      <c r="F235" s="8" t="n"/>
      <c r="G235" s="8" t="n"/>
      <c r="H235" s="8" t="n"/>
      <c r="I235" s="6" t="n"/>
      <c r="J235" s="6" t="n"/>
      <c r="K235" s="6" t="n"/>
      <c r="L235" s="6" t="n"/>
    </row>
    <row r="236">
      <c r="A236" s="6" t="n"/>
      <c r="B236" s="24" t="n"/>
      <c r="C236" s="6" t="n"/>
      <c r="D236" s="6" t="n"/>
      <c r="E236" s="6" t="n"/>
      <c r="F236" s="8" t="n"/>
      <c r="G236" s="8" t="n"/>
      <c r="H236" s="8" t="n"/>
      <c r="I236" s="6" t="n"/>
      <c r="J236" s="6" t="n"/>
      <c r="K236" s="6" t="n"/>
      <c r="L236" s="6" t="n"/>
    </row>
    <row r="237">
      <c r="A237" s="6" t="n"/>
      <c r="B237" s="24" t="n"/>
      <c r="C237" s="6" t="n"/>
      <c r="D237" s="6" t="n"/>
      <c r="E237" s="6" t="n"/>
      <c r="F237" s="8" t="n"/>
      <c r="G237" s="8" t="n"/>
      <c r="H237" s="8" t="n"/>
      <c r="I237" s="6" t="n"/>
      <c r="J237" s="6" t="n"/>
      <c r="K237" s="6" t="n"/>
      <c r="L237" s="6" t="n"/>
    </row>
    <row r="238">
      <c r="A238" s="6" t="n"/>
      <c r="B238" s="24" t="n"/>
      <c r="C238" s="6" t="n"/>
      <c r="D238" s="6" t="n"/>
      <c r="E238" s="6" t="n"/>
      <c r="F238" s="8" t="n"/>
      <c r="G238" s="8" t="n"/>
      <c r="H238" s="8" t="n"/>
      <c r="I238" s="6" t="n"/>
      <c r="J238" s="6" t="n"/>
      <c r="K238" s="6" t="n"/>
      <c r="L238" s="6" t="n"/>
    </row>
    <row r="239">
      <c r="A239" s="6" t="n"/>
      <c r="B239" s="24" t="n"/>
      <c r="C239" s="6" t="n"/>
      <c r="D239" s="6" t="n"/>
      <c r="E239" s="6" t="n"/>
      <c r="F239" s="8" t="n"/>
      <c r="G239" s="8" t="n"/>
      <c r="H239" s="8" t="n"/>
      <c r="I239" s="6" t="n"/>
      <c r="J239" s="6" t="n"/>
      <c r="K239" s="6" t="n"/>
      <c r="L239" s="6" t="n"/>
    </row>
    <row r="240">
      <c r="A240" s="6" t="n"/>
      <c r="B240" s="24" t="n"/>
      <c r="C240" s="6" t="n"/>
      <c r="D240" s="6" t="n"/>
      <c r="E240" s="6" t="n"/>
      <c r="F240" s="8" t="n"/>
      <c r="G240" s="8" t="n"/>
      <c r="H240" s="8" t="n"/>
      <c r="I240" s="6" t="n"/>
      <c r="J240" s="6" t="n"/>
      <c r="K240" s="6" t="n"/>
      <c r="L240" s="6" t="n"/>
    </row>
    <row r="241">
      <c r="A241" s="6" t="n"/>
      <c r="B241" s="24" t="n"/>
      <c r="C241" s="6" t="n"/>
      <c r="D241" s="6" t="n"/>
      <c r="E241" s="6" t="n"/>
      <c r="F241" s="8" t="n"/>
      <c r="G241" s="8" t="n"/>
      <c r="H241" s="8" t="n"/>
      <c r="I241" s="6" t="n"/>
      <c r="J241" s="6" t="n"/>
      <c r="K241" s="6" t="n"/>
      <c r="L241" s="6" t="n"/>
    </row>
    <row r="242">
      <c r="A242" s="6" t="n"/>
      <c r="B242" s="24" t="n"/>
      <c r="C242" s="6" t="n"/>
      <c r="D242" s="6" t="n"/>
      <c r="E242" s="6" t="n"/>
      <c r="F242" s="8" t="n"/>
      <c r="G242" s="8" t="n"/>
      <c r="H242" s="8" t="n"/>
      <c r="I242" s="6" t="n"/>
      <c r="J242" s="6" t="n"/>
      <c r="K242" s="6" t="n"/>
      <c r="L242" s="6" t="n"/>
    </row>
    <row r="243">
      <c r="A243" s="6" t="n"/>
      <c r="B243" s="24" t="n"/>
      <c r="C243" s="6" t="n"/>
      <c r="D243" s="6" t="n"/>
      <c r="E243" s="6" t="n"/>
      <c r="F243" s="8" t="n"/>
      <c r="G243" s="8" t="n"/>
      <c r="H243" s="8" t="n"/>
      <c r="I243" s="6" t="n"/>
      <c r="J243" s="6" t="n"/>
      <c r="K243" s="6" t="n"/>
      <c r="L243" s="6" t="n"/>
    </row>
    <row r="244">
      <c r="A244" s="6" t="n"/>
      <c r="B244" s="24" t="n"/>
      <c r="C244" s="6" t="n"/>
      <c r="D244" s="6" t="n"/>
      <c r="E244" s="6" t="n"/>
      <c r="F244" s="8" t="n"/>
      <c r="G244" s="8" t="n"/>
      <c r="H244" s="8" t="n"/>
      <c r="I244" s="6" t="n"/>
      <c r="J244" s="6" t="n"/>
      <c r="K244" s="6" t="n"/>
      <c r="L244" s="6" t="n"/>
    </row>
    <row r="245">
      <c r="A245" s="6" t="n"/>
      <c r="B245" s="24" t="n"/>
      <c r="C245" s="6" t="n"/>
      <c r="D245" s="6" t="n"/>
      <c r="E245" s="6" t="n"/>
      <c r="F245" s="8" t="n"/>
      <c r="G245" s="8" t="n"/>
      <c r="H245" s="8" t="n"/>
      <c r="I245" s="6" t="n"/>
      <c r="J245" s="6" t="n"/>
      <c r="K245" s="6" t="n"/>
      <c r="L245" s="6" t="n"/>
    </row>
    <row r="246">
      <c r="A246" s="6" t="n"/>
      <c r="B246" s="24" t="n"/>
      <c r="C246" s="6" t="n"/>
      <c r="D246" s="6" t="n"/>
      <c r="E246" s="6" t="n"/>
      <c r="F246" s="8" t="n"/>
      <c r="G246" s="8" t="n"/>
      <c r="H246" s="8" t="n"/>
      <c r="I246" s="6" t="n"/>
      <c r="J246" s="6" t="n"/>
      <c r="K246" s="6" t="n"/>
      <c r="L246" s="6" t="n"/>
    </row>
    <row r="247">
      <c r="A247" s="6" t="n"/>
      <c r="B247" s="24" t="n"/>
      <c r="C247" s="6" t="n"/>
      <c r="D247" s="6" t="n"/>
      <c r="E247" s="6" t="n"/>
      <c r="F247" s="8" t="n"/>
      <c r="G247" s="8" t="n"/>
      <c r="H247" s="8" t="n"/>
      <c r="I247" s="6" t="n"/>
      <c r="J247" s="6" t="n"/>
      <c r="K247" s="6" t="n"/>
      <c r="L247" s="6" t="n"/>
    </row>
    <row r="248">
      <c r="A248" s="6" t="n"/>
      <c r="B248" s="24" t="n"/>
      <c r="C248" s="6" t="n"/>
      <c r="D248" s="6" t="n"/>
      <c r="E248" s="6" t="n"/>
      <c r="F248" s="8" t="n"/>
      <c r="G248" s="8" t="n"/>
      <c r="H248" s="8" t="n"/>
      <c r="I248" s="6" t="n"/>
      <c r="J248" s="6" t="n"/>
      <c r="K248" s="6" t="n"/>
      <c r="L248" s="6" t="n"/>
    </row>
    <row r="249">
      <c r="A249" s="6" t="n"/>
      <c r="B249" s="24" t="n"/>
      <c r="C249" s="6" t="n"/>
      <c r="D249" s="6" t="n"/>
      <c r="E249" s="6" t="n"/>
      <c r="F249" s="8" t="n"/>
      <c r="G249" s="8" t="n"/>
      <c r="H249" s="8" t="n"/>
      <c r="I249" s="6" t="n"/>
      <c r="J249" s="6" t="n"/>
      <c r="K249" s="6" t="n"/>
      <c r="L249" s="6" t="n"/>
    </row>
    <row r="250">
      <c r="A250" s="6" t="n"/>
      <c r="B250" s="24" t="n"/>
      <c r="C250" s="6" t="n"/>
      <c r="D250" s="6" t="n"/>
      <c r="E250" s="6" t="n"/>
      <c r="F250" s="8" t="n"/>
      <c r="G250" s="8" t="n"/>
      <c r="H250" s="8" t="n"/>
      <c r="I250" s="6" t="n"/>
      <c r="J250" s="6" t="n"/>
      <c r="K250" s="6" t="n"/>
      <c r="L250" s="6" t="n"/>
    </row>
    <row r="251">
      <c r="A251" s="6" t="n"/>
      <c r="B251" s="24" t="n"/>
      <c r="C251" s="6" t="n"/>
      <c r="D251" s="6" t="n"/>
      <c r="E251" s="6" t="n"/>
      <c r="F251" s="8" t="n"/>
      <c r="G251" s="8" t="n"/>
      <c r="H251" s="8" t="n"/>
      <c r="I251" s="6" t="n"/>
      <c r="J251" s="6" t="n"/>
      <c r="K251" s="6" t="n"/>
      <c r="L251" s="6" t="n"/>
    </row>
    <row r="252">
      <c r="A252" s="6" t="n"/>
      <c r="B252" s="24" t="n"/>
      <c r="C252" s="6" t="n"/>
      <c r="D252" s="6" t="n"/>
      <c r="E252" s="6" t="n"/>
      <c r="F252" s="8" t="n"/>
      <c r="G252" s="8" t="n"/>
      <c r="H252" s="8" t="n"/>
      <c r="I252" s="6" t="n"/>
      <c r="J252" s="6" t="n"/>
      <c r="K252" s="6" t="n"/>
      <c r="L252" s="6" t="n"/>
    </row>
    <row r="253">
      <c r="A253" s="6" t="n"/>
      <c r="B253" s="24" t="n"/>
      <c r="C253" s="6" t="n"/>
      <c r="D253" s="6" t="n"/>
      <c r="E253" s="6" t="n"/>
      <c r="F253" s="8" t="n"/>
      <c r="G253" s="8" t="n"/>
      <c r="H253" s="8" t="n"/>
      <c r="I253" s="6" t="n"/>
      <c r="J253" s="6" t="n"/>
      <c r="K253" s="6" t="n"/>
      <c r="L253" s="6" t="n"/>
    </row>
    <row r="254">
      <c r="A254" s="6" t="n"/>
      <c r="B254" s="24" t="n"/>
      <c r="C254" s="6" t="n"/>
      <c r="D254" s="6" t="n"/>
      <c r="E254" s="6" t="n"/>
      <c r="F254" s="8" t="n"/>
      <c r="G254" s="8" t="n"/>
      <c r="H254" s="8" t="n"/>
      <c r="I254" s="6" t="n"/>
      <c r="J254" s="6" t="n"/>
      <c r="K254" s="6" t="n"/>
      <c r="L254" s="6" t="n"/>
    </row>
    <row r="255">
      <c r="A255" s="6" t="n"/>
      <c r="B255" s="24" t="n"/>
      <c r="C255" s="6" t="n"/>
      <c r="D255" s="6" t="n"/>
      <c r="E255" s="6" t="n"/>
      <c r="F255" s="8" t="n"/>
      <c r="G255" s="8" t="n"/>
      <c r="H255" s="8" t="n"/>
      <c r="I255" s="6" t="n"/>
      <c r="J255" s="6" t="n"/>
      <c r="K255" s="6" t="n"/>
      <c r="L255" s="6" t="n"/>
    </row>
    <row r="256">
      <c r="A256" s="6" t="n"/>
      <c r="B256" s="24" t="n"/>
      <c r="C256" s="6" t="n"/>
      <c r="D256" s="6" t="n"/>
      <c r="E256" s="6" t="n"/>
      <c r="F256" s="8" t="n"/>
      <c r="G256" s="8" t="n"/>
      <c r="H256" s="8" t="n"/>
      <c r="I256" s="6" t="n"/>
      <c r="J256" s="6" t="n"/>
      <c r="K256" s="6" t="n"/>
      <c r="L256" s="6" t="n"/>
    </row>
    <row r="257">
      <c r="A257" s="6" t="n"/>
      <c r="B257" s="24" t="n"/>
      <c r="C257" s="6" t="n"/>
      <c r="D257" s="6" t="n"/>
      <c r="E257" s="6" t="n"/>
      <c r="F257" s="8" t="n"/>
      <c r="G257" s="8" t="n"/>
      <c r="H257" s="8" t="n"/>
      <c r="I257" s="6" t="n"/>
      <c r="J257" s="6" t="n"/>
      <c r="K257" s="6" t="n"/>
      <c r="L257" s="6" t="n"/>
    </row>
    <row r="258">
      <c r="A258" s="6" t="n"/>
      <c r="B258" s="24" t="n"/>
      <c r="C258" s="6" t="n"/>
      <c r="D258" s="6" t="n"/>
      <c r="E258" s="6" t="n"/>
      <c r="F258" s="8" t="n"/>
      <c r="G258" s="8" t="n"/>
      <c r="H258" s="8" t="n"/>
      <c r="I258" s="6" t="n"/>
      <c r="J258" s="6" t="n"/>
      <c r="K258" s="6" t="n"/>
      <c r="L258" s="6" t="n"/>
    </row>
    <row r="259">
      <c r="A259" s="6" t="n"/>
      <c r="B259" s="24" t="n"/>
      <c r="C259" s="6" t="n"/>
      <c r="D259" s="6" t="n"/>
      <c r="E259" s="6" t="n"/>
      <c r="F259" s="8" t="n"/>
      <c r="G259" s="8" t="n"/>
      <c r="H259" s="8" t="n"/>
      <c r="I259" s="6" t="n"/>
      <c r="J259" s="6" t="n"/>
      <c r="K259" s="6" t="n"/>
      <c r="L259" s="6" t="n"/>
    </row>
    <row r="260">
      <c r="A260" s="6" t="n"/>
      <c r="B260" s="24" t="n"/>
      <c r="C260" s="6" t="n"/>
      <c r="D260" s="6" t="n"/>
      <c r="E260" s="6" t="n"/>
      <c r="F260" s="8" t="n"/>
      <c r="G260" s="8" t="n"/>
      <c r="H260" s="8" t="n"/>
      <c r="I260" s="6" t="n"/>
      <c r="J260" s="6" t="n"/>
      <c r="K260" s="6" t="n"/>
      <c r="L260" s="6" t="n"/>
    </row>
    <row r="261">
      <c r="A261" s="6" t="n"/>
      <c r="B261" s="24" t="n"/>
      <c r="C261" s="6" t="n"/>
      <c r="D261" s="6" t="n"/>
      <c r="E261" s="6" t="n"/>
      <c r="F261" s="8" t="n"/>
      <c r="G261" s="8" t="n"/>
      <c r="H261" s="8" t="n"/>
      <c r="I261" s="6" t="n"/>
      <c r="J261" s="6" t="n"/>
      <c r="K261" s="6" t="n"/>
      <c r="L261" s="6" t="n"/>
    </row>
    <row r="262">
      <c r="A262" s="6" t="n"/>
      <c r="B262" s="24" t="n"/>
      <c r="C262" s="6" t="n"/>
      <c r="D262" s="6" t="n"/>
      <c r="E262" s="6" t="n"/>
      <c r="F262" s="8" t="n"/>
      <c r="G262" s="8" t="n"/>
      <c r="H262" s="8" t="n"/>
      <c r="I262" s="6" t="n"/>
      <c r="J262" s="6" t="n"/>
      <c r="K262" s="6" t="n"/>
      <c r="L262" s="6" t="n"/>
    </row>
    <row r="263">
      <c r="A263" s="6" t="n"/>
      <c r="B263" s="24" t="n"/>
      <c r="C263" s="6" t="n"/>
      <c r="D263" s="6" t="n"/>
      <c r="E263" s="6" t="n"/>
      <c r="F263" s="8" t="n"/>
      <c r="G263" s="8" t="n"/>
      <c r="H263" s="8" t="n"/>
      <c r="I263" s="6" t="n"/>
      <c r="J263" s="6" t="n"/>
      <c r="K263" s="6" t="n"/>
      <c r="L263" s="6" t="n"/>
    </row>
    <row r="264">
      <c r="A264" s="6" t="n"/>
      <c r="B264" s="24" t="n"/>
      <c r="C264" s="6" t="n"/>
      <c r="D264" s="6" t="n"/>
      <c r="E264" s="6" t="n"/>
      <c r="F264" s="8" t="n"/>
      <c r="G264" s="8" t="n"/>
      <c r="H264" s="8" t="n"/>
      <c r="I264" s="6" t="n"/>
      <c r="J264" s="6" t="n"/>
      <c r="K264" s="6" t="n"/>
      <c r="L264" s="6" t="n"/>
    </row>
    <row r="265">
      <c r="A265" s="6" t="n"/>
      <c r="B265" s="24" t="n"/>
      <c r="C265" s="6" t="n"/>
      <c r="D265" s="6" t="n"/>
      <c r="E265" s="6" t="n"/>
      <c r="F265" s="8" t="n"/>
      <c r="G265" s="8" t="n"/>
      <c r="H265" s="8" t="n"/>
      <c r="I265" s="6" t="n"/>
      <c r="J265" s="6" t="n"/>
      <c r="K265" s="6" t="n"/>
      <c r="L265" s="6" t="n"/>
    </row>
    <row r="266">
      <c r="A266" s="6" t="n"/>
      <c r="B266" s="24" t="n"/>
      <c r="C266" s="6" t="n"/>
      <c r="D266" s="6" t="n"/>
      <c r="E266" s="6" t="n"/>
      <c r="F266" s="8" t="n"/>
      <c r="G266" s="8" t="n"/>
      <c r="H266" s="8" t="n"/>
      <c r="I266" s="6" t="n"/>
      <c r="J266" s="6" t="n"/>
      <c r="K266" s="6" t="n"/>
      <c r="L266" s="6" t="n"/>
    </row>
    <row r="267">
      <c r="A267" s="6" t="n"/>
      <c r="B267" s="24" t="n"/>
      <c r="C267" s="6" t="n"/>
      <c r="D267" s="6" t="n"/>
      <c r="E267" s="6" t="n"/>
      <c r="F267" s="8" t="n"/>
      <c r="G267" s="8" t="n"/>
      <c r="H267" s="8" t="n"/>
      <c r="I267" s="6" t="n"/>
      <c r="J267" s="6" t="n"/>
      <c r="K267" s="6" t="n"/>
      <c r="L267" s="6" t="n"/>
    </row>
    <row r="268">
      <c r="A268" s="6" t="n"/>
      <c r="B268" s="24" t="n"/>
      <c r="C268" s="6" t="n"/>
      <c r="D268" s="6" t="n"/>
      <c r="E268" s="6" t="n"/>
      <c r="F268" s="8" t="n"/>
      <c r="G268" s="8" t="n"/>
      <c r="H268" s="8" t="n"/>
      <c r="I268" s="6" t="n"/>
      <c r="J268" s="6" t="n"/>
      <c r="K268" s="6" t="n"/>
      <c r="L268" s="6" t="n"/>
    </row>
    <row r="269">
      <c r="A269" s="6" t="n"/>
      <c r="B269" s="24" t="n"/>
      <c r="C269" s="6" t="n"/>
      <c r="D269" s="6" t="n"/>
      <c r="E269" s="6" t="n"/>
      <c r="F269" s="8" t="n"/>
      <c r="G269" s="8" t="n"/>
      <c r="H269" s="8" t="n"/>
      <c r="I269" s="6" t="n"/>
      <c r="J269" s="6" t="n"/>
      <c r="K269" s="6" t="n"/>
      <c r="L269" s="6" t="n"/>
    </row>
    <row r="270">
      <c r="A270" s="6" t="n"/>
      <c r="B270" s="24" t="n"/>
      <c r="C270" s="6" t="n"/>
      <c r="D270" s="6" t="n"/>
      <c r="E270" s="6" t="n"/>
      <c r="F270" s="8" t="n"/>
      <c r="G270" s="8" t="n"/>
      <c r="H270" s="8" t="n"/>
      <c r="I270" s="6" t="n"/>
      <c r="J270" s="6" t="n"/>
      <c r="K270" s="6" t="n"/>
      <c r="L270" s="6" t="n"/>
    </row>
    <row r="271">
      <c r="A271" s="6" t="n"/>
      <c r="B271" s="24" t="n"/>
      <c r="C271" s="6" t="n"/>
      <c r="D271" s="6" t="n"/>
      <c r="E271" s="6" t="n"/>
      <c r="F271" s="8" t="n"/>
      <c r="G271" s="8" t="n"/>
      <c r="H271" s="8" t="n"/>
      <c r="I271" s="6" t="n"/>
      <c r="J271" s="6" t="n"/>
      <c r="K271" s="6" t="n"/>
      <c r="L271" s="6" t="n"/>
    </row>
    <row r="272">
      <c r="A272" s="6" t="n"/>
      <c r="B272" s="24" t="n"/>
      <c r="C272" s="6" t="n"/>
      <c r="D272" s="6" t="n"/>
      <c r="E272" s="6" t="n"/>
      <c r="F272" s="8" t="n"/>
      <c r="G272" s="8" t="n"/>
      <c r="H272" s="8" t="n"/>
      <c r="I272" s="6" t="n"/>
      <c r="J272" s="6" t="n"/>
      <c r="K272" s="6" t="n"/>
      <c r="L272" s="6" t="n"/>
    </row>
    <row r="273">
      <c r="A273" s="6" t="n"/>
      <c r="B273" s="24" t="n"/>
      <c r="C273" s="6" t="n"/>
      <c r="D273" s="6" t="n"/>
      <c r="E273" s="6" t="n"/>
      <c r="F273" s="8" t="n"/>
      <c r="G273" s="8" t="n"/>
      <c r="H273" s="8" t="n"/>
      <c r="I273" s="6" t="n"/>
      <c r="J273" s="6" t="n"/>
      <c r="K273" s="6" t="n"/>
      <c r="L273" s="6" t="n"/>
    </row>
    <row r="274">
      <c r="A274" s="6" t="n"/>
      <c r="B274" s="24" t="n"/>
      <c r="C274" s="6" t="n"/>
      <c r="D274" s="6" t="n"/>
      <c r="E274" s="6" t="n"/>
      <c r="F274" s="8" t="n"/>
      <c r="G274" s="8" t="n"/>
      <c r="H274" s="8" t="n"/>
      <c r="I274" s="6" t="n"/>
      <c r="J274" s="6" t="n"/>
      <c r="K274" s="6" t="n"/>
      <c r="L274" s="6" t="n"/>
    </row>
    <row r="275">
      <c r="A275" s="6" t="n"/>
      <c r="B275" s="24" t="n"/>
      <c r="C275" s="6" t="n"/>
      <c r="D275" s="6" t="n"/>
      <c r="E275" s="6" t="n"/>
      <c r="F275" s="8" t="n"/>
      <c r="G275" s="8" t="n"/>
      <c r="H275" s="8" t="n"/>
      <c r="I275" s="6" t="n"/>
      <c r="J275" s="6" t="n"/>
      <c r="K275" s="6" t="n"/>
      <c r="L275" s="6" t="n"/>
    </row>
    <row r="276">
      <c r="A276" s="6" t="n"/>
      <c r="B276" s="24" t="n"/>
      <c r="C276" s="6" t="n"/>
      <c r="D276" s="6" t="n"/>
      <c r="E276" s="6" t="n"/>
      <c r="F276" s="8" t="n"/>
      <c r="G276" s="8" t="n"/>
      <c r="H276" s="8" t="n"/>
      <c r="I276" s="6" t="n"/>
      <c r="J276" s="6" t="n"/>
      <c r="K276" s="6" t="n"/>
      <c r="L276" s="6" t="n"/>
    </row>
    <row r="277">
      <c r="A277" s="6" t="n"/>
      <c r="B277" s="24" t="n"/>
      <c r="C277" s="6" t="n"/>
      <c r="D277" s="6" t="n"/>
      <c r="E277" s="6" t="n"/>
      <c r="F277" s="8" t="n"/>
      <c r="G277" s="8" t="n"/>
      <c r="H277" s="8" t="n"/>
      <c r="I277" s="6" t="n"/>
      <c r="J277" s="6" t="n"/>
      <c r="K277" s="6" t="n"/>
      <c r="L277" s="6" t="n"/>
    </row>
    <row r="278">
      <c r="A278" s="6" t="n"/>
      <c r="B278" s="24" t="n"/>
      <c r="C278" s="6" t="n"/>
      <c r="D278" s="6" t="n"/>
      <c r="E278" s="6" t="n"/>
      <c r="F278" s="8" t="n"/>
      <c r="G278" s="8" t="n"/>
      <c r="H278" s="8" t="n"/>
      <c r="I278" s="6" t="n"/>
      <c r="J278" s="6" t="n"/>
      <c r="K278" s="6" t="n"/>
      <c r="L278" s="6" t="n"/>
    </row>
    <row r="279">
      <c r="A279" s="6" t="n"/>
      <c r="B279" s="24" t="n"/>
      <c r="C279" s="6" t="n"/>
      <c r="D279" s="6" t="n"/>
      <c r="E279" s="6" t="n"/>
      <c r="F279" s="8" t="n"/>
      <c r="G279" s="8" t="n"/>
      <c r="H279" s="8" t="n"/>
      <c r="I279" s="6" t="n"/>
      <c r="J279" s="6" t="n"/>
      <c r="K279" s="6" t="n"/>
      <c r="L279" s="6" t="n"/>
    </row>
    <row r="280">
      <c r="A280" s="6" t="n"/>
      <c r="B280" s="24" t="n"/>
      <c r="C280" s="6" t="n"/>
      <c r="D280" s="6" t="n"/>
      <c r="E280" s="6" t="n"/>
      <c r="F280" s="8" t="n"/>
      <c r="G280" s="8" t="n"/>
      <c r="H280" s="8" t="n"/>
      <c r="I280" s="6" t="n"/>
      <c r="J280" s="6" t="n"/>
      <c r="K280" s="6" t="n"/>
      <c r="L280" s="6" t="n"/>
    </row>
    <row r="281">
      <c r="A281" s="6" t="n"/>
      <c r="B281" s="24" t="n"/>
      <c r="C281" s="6" t="n"/>
      <c r="D281" s="6" t="n"/>
      <c r="E281" s="6" t="n"/>
      <c r="F281" s="8" t="n"/>
      <c r="G281" s="8" t="n"/>
      <c r="H281" s="8" t="n"/>
      <c r="I281" s="6" t="n"/>
      <c r="J281" s="6" t="n"/>
      <c r="K281" s="6" t="n"/>
      <c r="L281" s="6" t="n"/>
    </row>
    <row r="282">
      <c r="A282" s="6" t="n"/>
      <c r="B282" s="24" t="n"/>
      <c r="C282" s="6" t="n"/>
      <c r="D282" s="6" t="n"/>
      <c r="E282" s="6" t="n"/>
      <c r="F282" s="8" t="n"/>
      <c r="G282" s="8" t="n"/>
      <c r="H282" s="8" t="n"/>
      <c r="I282" s="6" t="n"/>
      <c r="J282" s="6" t="n"/>
      <c r="K282" s="6" t="n"/>
      <c r="L282" s="6" t="n"/>
    </row>
    <row r="283">
      <c r="A283" s="6" t="n"/>
      <c r="B283" s="24" t="n"/>
      <c r="C283" s="6" t="n"/>
      <c r="D283" s="6" t="n"/>
      <c r="E283" s="6" t="n"/>
      <c r="F283" s="8" t="n"/>
      <c r="G283" s="8" t="n"/>
      <c r="H283" s="8" t="n"/>
      <c r="I283" s="6" t="n"/>
      <c r="J283" s="6" t="n"/>
      <c r="K283" s="6" t="n"/>
      <c r="L283" s="6" t="n"/>
    </row>
    <row r="284">
      <c r="A284" s="6" t="n"/>
      <c r="B284" s="24" t="n"/>
      <c r="C284" s="6" t="n"/>
      <c r="D284" s="6" t="n"/>
      <c r="E284" s="6" t="n"/>
      <c r="F284" s="8" t="n"/>
      <c r="G284" s="8" t="n"/>
      <c r="H284" s="8" t="n"/>
      <c r="I284" s="6" t="n"/>
      <c r="J284" s="6" t="n"/>
      <c r="K284" s="6" t="n"/>
      <c r="L284" s="6" t="n"/>
    </row>
    <row r="285">
      <c r="A285" s="6" t="n"/>
      <c r="B285" s="24" t="n"/>
      <c r="C285" s="6" t="n"/>
      <c r="D285" s="6" t="n"/>
      <c r="E285" s="6" t="n"/>
      <c r="F285" s="8" t="n"/>
      <c r="G285" s="8" t="n"/>
      <c r="H285" s="8" t="n"/>
      <c r="I285" s="6" t="n"/>
      <c r="J285" s="6" t="n"/>
      <c r="K285" s="6" t="n"/>
      <c r="L285" s="6" t="n"/>
    </row>
    <row r="286">
      <c r="A286" s="6" t="n"/>
      <c r="B286" s="24" t="n"/>
      <c r="C286" s="6" t="n"/>
      <c r="D286" s="6" t="n"/>
      <c r="E286" s="6" t="n"/>
      <c r="F286" s="8" t="n"/>
      <c r="G286" s="8" t="n"/>
      <c r="H286" s="8" t="n"/>
      <c r="I286" s="6" t="n"/>
      <c r="J286" s="6" t="n"/>
      <c r="K286" s="6" t="n"/>
      <c r="L286" s="6" t="n"/>
    </row>
    <row r="287">
      <c r="A287" s="6" t="n"/>
      <c r="B287" s="24" t="n"/>
      <c r="C287" s="6" t="n"/>
      <c r="D287" s="6" t="n"/>
      <c r="E287" s="6" t="n"/>
      <c r="F287" s="8" t="n"/>
      <c r="G287" s="8" t="n"/>
      <c r="H287" s="8" t="n"/>
      <c r="I287" s="6" t="n"/>
      <c r="J287" s="6" t="n"/>
      <c r="K287" s="6" t="n"/>
      <c r="L287" s="6" t="n"/>
    </row>
    <row r="288">
      <c r="A288" s="6" t="n"/>
      <c r="B288" s="24" t="n"/>
      <c r="C288" s="6" t="n"/>
      <c r="D288" s="6" t="n"/>
      <c r="E288" s="6" t="n"/>
      <c r="F288" s="8" t="n"/>
      <c r="G288" s="8" t="n"/>
      <c r="H288" s="8" t="n"/>
      <c r="I288" s="6" t="n"/>
      <c r="J288" s="6" t="n"/>
      <c r="K288" s="6" t="n"/>
      <c r="L288" s="6" t="n"/>
    </row>
    <row r="289">
      <c r="A289" s="6" t="n"/>
      <c r="B289" s="24" t="n"/>
      <c r="C289" s="6" t="n"/>
      <c r="D289" s="6" t="n"/>
      <c r="E289" s="6" t="n"/>
      <c r="F289" s="8" t="n"/>
      <c r="G289" s="8" t="n"/>
      <c r="H289" s="8" t="n"/>
      <c r="I289" s="6" t="n"/>
      <c r="J289" s="6" t="n"/>
      <c r="K289" s="6" t="n"/>
      <c r="L289" s="6" t="n"/>
    </row>
    <row r="290">
      <c r="A290" s="6" t="n"/>
      <c r="B290" s="24" t="n"/>
      <c r="C290" s="6" t="n"/>
      <c r="D290" s="6" t="n"/>
      <c r="E290" s="6" t="n"/>
      <c r="F290" s="8" t="n"/>
      <c r="G290" s="8" t="n"/>
      <c r="H290" s="8" t="n"/>
      <c r="I290" s="6" t="n"/>
      <c r="J290" s="6" t="n"/>
      <c r="K290" s="6" t="n"/>
      <c r="L290" s="6" t="n"/>
    </row>
    <row r="291">
      <c r="A291" s="6" t="n"/>
      <c r="B291" s="24" t="n"/>
      <c r="C291" s="6" t="n"/>
      <c r="D291" s="6" t="n"/>
      <c r="E291" s="6" t="n"/>
      <c r="F291" s="8" t="n"/>
      <c r="G291" s="8" t="n"/>
      <c r="H291" s="8" t="n"/>
      <c r="I291" s="6" t="n"/>
      <c r="J291" s="6" t="n"/>
      <c r="K291" s="6" t="n"/>
      <c r="L291" s="6" t="n"/>
    </row>
    <row r="292">
      <c r="A292" s="6" t="n"/>
      <c r="B292" s="24" t="n"/>
      <c r="C292" s="6" t="n"/>
      <c r="D292" s="6" t="n"/>
      <c r="E292" s="6" t="n"/>
      <c r="F292" s="8" t="n"/>
      <c r="G292" s="8" t="n"/>
      <c r="H292" s="8" t="n"/>
      <c r="I292" s="6" t="n"/>
      <c r="J292" s="6" t="n"/>
      <c r="K292" s="6" t="n"/>
      <c r="L292" s="6" t="n"/>
    </row>
    <row r="293">
      <c r="A293" s="6" t="n"/>
      <c r="B293" s="24" t="n"/>
      <c r="C293" s="6" t="n"/>
      <c r="D293" s="6" t="n"/>
      <c r="E293" s="6" t="n"/>
      <c r="F293" s="8" t="n"/>
      <c r="G293" s="8" t="n"/>
      <c r="H293" s="8" t="n"/>
      <c r="I293" s="6" t="n"/>
      <c r="J293" s="6" t="n"/>
      <c r="K293" s="6" t="n"/>
      <c r="L293" s="6" t="n"/>
    </row>
    <row r="294">
      <c r="A294" s="6" t="n"/>
      <c r="B294" s="24" t="n"/>
      <c r="C294" s="6" t="n"/>
      <c r="D294" s="6" t="n"/>
      <c r="E294" s="6" t="n"/>
      <c r="F294" s="8" t="n"/>
      <c r="G294" s="8" t="n"/>
      <c r="H294" s="8" t="n"/>
      <c r="I294" s="6" t="n"/>
      <c r="J294" s="6" t="n"/>
      <c r="K294" s="6" t="n"/>
      <c r="L294" s="6" t="n"/>
    </row>
    <row r="295">
      <c r="A295" s="6" t="n"/>
      <c r="B295" s="24" t="n"/>
      <c r="C295" s="6" t="n"/>
      <c r="D295" s="6" t="n"/>
      <c r="E295" s="6" t="n"/>
      <c r="F295" s="8" t="n"/>
      <c r="G295" s="8" t="n"/>
      <c r="H295" s="8" t="n"/>
      <c r="I295" s="6" t="n"/>
      <c r="J295" s="6" t="n"/>
      <c r="K295" s="6" t="n"/>
      <c r="L295" s="6" t="n"/>
    </row>
    <row r="296">
      <c r="A296" s="6" t="n"/>
      <c r="B296" s="24" t="n"/>
      <c r="C296" s="6" t="n"/>
      <c r="D296" s="6" t="n"/>
      <c r="E296" s="6" t="n"/>
      <c r="F296" s="8" t="n"/>
      <c r="G296" s="8" t="n"/>
      <c r="H296" s="8" t="n"/>
      <c r="I296" s="6" t="n"/>
      <c r="J296" s="6" t="n"/>
      <c r="K296" s="6" t="n"/>
      <c r="L296" s="6" t="n"/>
    </row>
    <row r="297">
      <c r="A297" s="6" t="n"/>
      <c r="B297" s="24" t="n"/>
      <c r="C297" s="6" t="n"/>
      <c r="D297" s="6" t="n"/>
      <c r="E297" s="6" t="n"/>
      <c r="F297" s="8" t="n"/>
      <c r="G297" s="8" t="n"/>
      <c r="H297" s="8" t="n"/>
      <c r="I297" s="6" t="n"/>
      <c r="J297" s="6" t="n"/>
      <c r="K297" s="6" t="n"/>
      <c r="L297" s="6" t="n"/>
    </row>
    <row r="298">
      <c r="A298" s="6" t="n"/>
      <c r="B298" s="24" t="n"/>
      <c r="C298" s="6" t="n"/>
      <c r="D298" s="6" t="n"/>
      <c r="E298" s="6" t="n"/>
      <c r="F298" s="8" t="n"/>
      <c r="G298" s="8" t="n"/>
      <c r="H298" s="8" t="n"/>
      <c r="I298" s="6" t="n"/>
      <c r="J298" s="6" t="n"/>
      <c r="K298" s="6" t="n"/>
      <c r="L298" s="6" t="n"/>
    </row>
    <row r="299">
      <c r="A299" s="6" t="n"/>
      <c r="B299" s="24" t="n"/>
      <c r="C299" s="6" t="n"/>
      <c r="D299" s="6" t="n"/>
      <c r="E299" s="6" t="n"/>
      <c r="F299" s="8" t="n"/>
      <c r="G299" s="8" t="n"/>
      <c r="H299" s="8" t="n"/>
      <c r="I299" s="6" t="n"/>
      <c r="J299" s="6" t="n"/>
      <c r="K299" s="6" t="n"/>
      <c r="L299" s="6" t="n"/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8" customWidth="1" min="4" max="4"/>
    <col width="11" customWidth="1" min="5" max="5"/>
    <col width="16" customWidth="1" min="6" max="6"/>
    <col width="16" customWidth="1" min="7" max="7"/>
    <col width="22" customWidth="1" min="8" max="8"/>
  </cols>
  <sheetData>
    <row r="1" ht="30" customHeight="1">
      <c r="A1" s="1" t="inlineStr">
        <is>
          <t>DETALLE  ·  qué se compró en cada boleta, línea por línea</t>
        </is>
      </c>
    </row>
    <row r="2">
      <c r="A2" s="4" t="inlineStr">
        <is>
          <t>Sale del detalle impreso en la boleta. Sirve para ver en qué productos se te va la plata y cómo cambian sus precios.</t>
        </is>
      </c>
    </row>
    <row r="3">
      <c r="A3" s="7" t="inlineStr">
        <is>
          <t>ID</t>
        </is>
      </c>
      <c r="B3" s="7" t="inlineStr">
        <is>
          <t>FECHA</t>
        </is>
      </c>
      <c r="C3" s="7" t="inlineStr">
        <is>
          <t>N DOCUMENTO</t>
        </is>
      </c>
      <c r="D3" s="7" t="inlineStr">
        <is>
          <t>DESCRIPCIÓN</t>
        </is>
      </c>
      <c r="E3" s="7" t="inlineStr">
        <is>
          <t>CANTIDAD</t>
        </is>
      </c>
      <c r="F3" s="7" t="inlineStr">
        <is>
          <t>VALOR UNITARIO</t>
        </is>
      </c>
      <c r="G3" s="7" t="inlineStr">
        <is>
          <t>VALOR TOTAL</t>
        </is>
      </c>
      <c r="H3" s="7" t="inlineStr">
        <is>
          <t>CATEGORÍA</t>
        </is>
      </c>
    </row>
    <row r="4">
      <c r="A4" s="6" t="n"/>
      <c r="B4" s="24" t="n"/>
      <c r="C4" s="6" t="n"/>
      <c r="D4" s="6" t="n"/>
      <c r="E4" s="6" t="n"/>
      <c r="F4" s="8" t="n"/>
      <c r="G4" s="8" t="n"/>
      <c r="H4" s="6" t="n"/>
    </row>
    <row r="5">
      <c r="A5" s="6" t="n"/>
      <c r="B5" s="24" t="n"/>
      <c r="C5" s="6" t="n"/>
      <c r="D5" s="6" t="n"/>
      <c r="E5" s="6" t="n"/>
      <c r="F5" s="8" t="n"/>
      <c r="G5" s="8" t="n"/>
      <c r="H5" s="6" t="n"/>
    </row>
    <row r="6">
      <c r="A6" s="6" t="n"/>
      <c r="B6" s="24" t="n"/>
      <c r="C6" s="6" t="n"/>
      <c r="D6" s="6" t="n"/>
      <c r="E6" s="6" t="n"/>
      <c r="F6" s="8" t="n"/>
      <c r="G6" s="8" t="n"/>
      <c r="H6" s="6" t="n"/>
    </row>
    <row r="7">
      <c r="A7" s="6" t="n"/>
      <c r="B7" s="24" t="n"/>
      <c r="C7" s="6" t="n"/>
      <c r="D7" s="6" t="n"/>
      <c r="E7" s="6" t="n"/>
      <c r="F7" s="8" t="n"/>
      <c r="G7" s="8" t="n"/>
      <c r="H7" s="6" t="n"/>
    </row>
    <row r="8">
      <c r="A8" s="6" t="n"/>
      <c r="B8" s="24" t="n"/>
      <c r="C8" s="6" t="n"/>
      <c r="D8" s="6" t="n"/>
      <c r="E8" s="6" t="n"/>
      <c r="F8" s="8" t="n"/>
      <c r="G8" s="8" t="n"/>
      <c r="H8" s="6" t="n"/>
    </row>
    <row r="9">
      <c r="A9" s="6" t="n"/>
      <c r="B9" s="24" t="n"/>
      <c r="C9" s="6" t="n"/>
      <c r="D9" s="6" t="n"/>
      <c r="E9" s="6" t="n"/>
      <c r="F9" s="8" t="n"/>
      <c r="G9" s="8" t="n"/>
      <c r="H9" s="6" t="n"/>
    </row>
    <row r="10">
      <c r="A10" s="6" t="n"/>
      <c r="B10" s="24" t="n"/>
      <c r="C10" s="6" t="n"/>
      <c r="D10" s="6" t="n"/>
      <c r="E10" s="6" t="n"/>
      <c r="F10" s="8" t="n"/>
      <c r="G10" s="8" t="n"/>
      <c r="H10" s="6" t="n"/>
    </row>
    <row r="11">
      <c r="A11" s="6" t="n"/>
      <c r="B11" s="24" t="n"/>
      <c r="C11" s="6" t="n"/>
      <c r="D11" s="6" t="n"/>
      <c r="E11" s="6" t="n"/>
      <c r="F11" s="8" t="n"/>
      <c r="G11" s="8" t="n"/>
      <c r="H11" s="6" t="n"/>
    </row>
    <row r="12">
      <c r="A12" s="6" t="n"/>
      <c r="B12" s="24" t="n"/>
      <c r="C12" s="6" t="n"/>
      <c r="D12" s="6" t="n"/>
      <c r="E12" s="6" t="n"/>
      <c r="F12" s="8" t="n"/>
      <c r="G12" s="8" t="n"/>
      <c r="H12" s="6" t="n"/>
    </row>
    <row r="13">
      <c r="A13" s="6" t="n"/>
      <c r="B13" s="24" t="n"/>
      <c r="C13" s="6" t="n"/>
      <c r="D13" s="6" t="n"/>
      <c r="E13" s="6" t="n"/>
      <c r="F13" s="8" t="n"/>
      <c r="G13" s="8" t="n"/>
      <c r="H13" s="6" t="n"/>
    </row>
    <row r="14">
      <c r="A14" s="6" t="n"/>
      <c r="B14" s="24" t="n"/>
      <c r="C14" s="6" t="n"/>
      <c r="D14" s="6" t="n"/>
      <c r="E14" s="6" t="n"/>
      <c r="F14" s="8" t="n"/>
      <c r="G14" s="8" t="n"/>
      <c r="H14" s="6" t="n"/>
    </row>
    <row r="15">
      <c r="A15" s="6" t="n"/>
      <c r="B15" s="24" t="n"/>
      <c r="C15" s="6" t="n"/>
      <c r="D15" s="6" t="n"/>
      <c r="E15" s="6" t="n"/>
      <c r="F15" s="8" t="n"/>
      <c r="G15" s="8" t="n"/>
      <c r="H15" s="6" t="n"/>
    </row>
    <row r="16">
      <c r="A16" s="6" t="n"/>
      <c r="B16" s="24" t="n"/>
      <c r="C16" s="6" t="n"/>
      <c r="D16" s="6" t="n"/>
      <c r="E16" s="6" t="n"/>
      <c r="F16" s="8" t="n"/>
      <c r="G16" s="8" t="n"/>
      <c r="H16" s="6" t="n"/>
    </row>
    <row r="17">
      <c r="A17" s="6" t="n"/>
      <c r="B17" s="24" t="n"/>
      <c r="C17" s="6" t="n"/>
      <c r="D17" s="6" t="n"/>
      <c r="E17" s="6" t="n"/>
      <c r="F17" s="8" t="n"/>
      <c r="G17" s="8" t="n"/>
      <c r="H17" s="6" t="n"/>
    </row>
    <row r="18">
      <c r="A18" s="6" t="n"/>
      <c r="B18" s="24" t="n"/>
      <c r="C18" s="6" t="n"/>
      <c r="D18" s="6" t="n"/>
      <c r="E18" s="6" t="n"/>
      <c r="F18" s="8" t="n"/>
      <c r="G18" s="8" t="n"/>
      <c r="H18" s="6" t="n"/>
    </row>
    <row r="19">
      <c r="A19" s="6" t="n"/>
      <c r="B19" s="24" t="n"/>
      <c r="C19" s="6" t="n"/>
      <c r="D19" s="6" t="n"/>
      <c r="E19" s="6" t="n"/>
      <c r="F19" s="8" t="n"/>
      <c r="G19" s="8" t="n"/>
      <c r="H19" s="6" t="n"/>
    </row>
    <row r="20">
      <c r="A20" s="6" t="n"/>
      <c r="B20" s="24" t="n"/>
      <c r="C20" s="6" t="n"/>
      <c r="D20" s="6" t="n"/>
      <c r="E20" s="6" t="n"/>
      <c r="F20" s="8" t="n"/>
      <c r="G20" s="8" t="n"/>
      <c r="H20" s="6" t="n"/>
    </row>
    <row r="21">
      <c r="A21" s="6" t="n"/>
      <c r="B21" s="24" t="n"/>
      <c r="C21" s="6" t="n"/>
      <c r="D21" s="6" t="n"/>
      <c r="E21" s="6" t="n"/>
      <c r="F21" s="8" t="n"/>
      <c r="G21" s="8" t="n"/>
      <c r="H21" s="6" t="n"/>
    </row>
    <row r="22">
      <c r="A22" s="6" t="n"/>
      <c r="B22" s="24" t="n"/>
      <c r="C22" s="6" t="n"/>
      <c r="D22" s="6" t="n"/>
      <c r="E22" s="6" t="n"/>
      <c r="F22" s="8" t="n"/>
      <c r="G22" s="8" t="n"/>
      <c r="H22" s="6" t="n"/>
    </row>
    <row r="23">
      <c r="A23" s="6" t="n"/>
      <c r="B23" s="24" t="n"/>
      <c r="C23" s="6" t="n"/>
      <c r="D23" s="6" t="n"/>
      <c r="E23" s="6" t="n"/>
      <c r="F23" s="8" t="n"/>
      <c r="G23" s="8" t="n"/>
      <c r="H23" s="6" t="n"/>
    </row>
    <row r="24">
      <c r="A24" s="6" t="n"/>
      <c r="B24" s="24" t="n"/>
      <c r="C24" s="6" t="n"/>
      <c r="D24" s="6" t="n"/>
      <c r="E24" s="6" t="n"/>
      <c r="F24" s="8" t="n"/>
      <c r="G24" s="8" t="n"/>
      <c r="H24" s="6" t="n"/>
    </row>
    <row r="25">
      <c r="A25" s="6" t="n"/>
      <c r="B25" s="24" t="n"/>
      <c r="C25" s="6" t="n"/>
      <c r="D25" s="6" t="n"/>
      <c r="E25" s="6" t="n"/>
      <c r="F25" s="8" t="n"/>
      <c r="G25" s="8" t="n"/>
      <c r="H25" s="6" t="n"/>
    </row>
    <row r="26">
      <c r="A26" s="6" t="n"/>
      <c r="B26" s="24" t="n"/>
      <c r="C26" s="6" t="n"/>
      <c r="D26" s="6" t="n"/>
      <c r="E26" s="6" t="n"/>
      <c r="F26" s="8" t="n"/>
      <c r="G26" s="8" t="n"/>
      <c r="H26" s="6" t="n"/>
    </row>
    <row r="27">
      <c r="A27" s="6" t="n"/>
      <c r="B27" s="24" t="n"/>
      <c r="C27" s="6" t="n"/>
      <c r="D27" s="6" t="n"/>
      <c r="E27" s="6" t="n"/>
      <c r="F27" s="8" t="n"/>
      <c r="G27" s="8" t="n"/>
      <c r="H27" s="6" t="n"/>
    </row>
    <row r="28">
      <c r="A28" s="6" t="n"/>
      <c r="B28" s="24" t="n"/>
      <c r="C28" s="6" t="n"/>
      <c r="D28" s="6" t="n"/>
      <c r="E28" s="6" t="n"/>
      <c r="F28" s="8" t="n"/>
      <c r="G28" s="8" t="n"/>
      <c r="H28" s="6" t="n"/>
    </row>
    <row r="29">
      <c r="A29" s="6" t="n"/>
      <c r="B29" s="24" t="n"/>
      <c r="C29" s="6" t="n"/>
      <c r="D29" s="6" t="n"/>
      <c r="E29" s="6" t="n"/>
      <c r="F29" s="8" t="n"/>
      <c r="G29" s="8" t="n"/>
      <c r="H29" s="6" t="n"/>
    </row>
    <row r="30">
      <c r="A30" s="6" t="n"/>
      <c r="B30" s="24" t="n"/>
      <c r="C30" s="6" t="n"/>
      <c r="D30" s="6" t="n"/>
      <c r="E30" s="6" t="n"/>
      <c r="F30" s="8" t="n"/>
      <c r="G30" s="8" t="n"/>
      <c r="H30" s="6" t="n"/>
    </row>
    <row r="31">
      <c r="A31" s="6" t="n"/>
      <c r="B31" s="24" t="n"/>
      <c r="C31" s="6" t="n"/>
      <c r="D31" s="6" t="n"/>
      <c r="E31" s="6" t="n"/>
      <c r="F31" s="8" t="n"/>
      <c r="G31" s="8" t="n"/>
      <c r="H31" s="6" t="n"/>
    </row>
    <row r="32">
      <c r="A32" s="6" t="n"/>
      <c r="B32" s="24" t="n"/>
      <c r="C32" s="6" t="n"/>
      <c r="D32" s="6" t="n"/>
      <c r="E32" s="6" t="n"/>
      <c r="F32" s="8" t="n"/>
      <c r="G32" s="8" t="n"/>
      <c r="H32" s="6" t="n"/>
    </row>
    <row r="33">
      <c r="A33" s="6" t="n"/>
      <c r="B33" s="24" t="n"/>
      <c r="C33" s="6" t="n"/>
      <c r="D33" s="6" t="n"/>
      <c r="E33" s="6" t="n"/>
      <c r="F33" s="8" t="n"/>
      <c r="G33" s="8" t="n"/>
      <c r="H33" s="6" t="n"/>
    </row>
    <row r="34">
      <c r="A34" s="6" t="n"/>
      <c r="B34" s="24" t="n"/>
      <c r="C34" s="6" t="n"/>
      <c r="D34" s="6" t="n"/>
      <c r="E34" s="6" t="n"/>
      <c r="F34" s="8" t="n"/>
      <c r="G34" s="8" t="n"/>
      <c r="H34" s="6" t="n"/>
    </row>
    <row r="35">
      <c r="A35" s="6" t="n"/>
      <c r="B35" s="24" t="n"/>
      <c r="C35" s="6" t="n"/>
      <c r="D35" s="6" t="n"/>
      <c r="E35" s="6" t="n"/>
      <c r="F35" s="8" t="n"/>
      <c r="G35" s="8" t="n"/>
      <c r="H35" s="6" t="n"/>
    </row>
    <row r="36">
      <c r="A36" s="6" t="n"/>
      <c r="B36" s="24" t="n"/>
      <c r="C36" s="6" t="n"/>
      <c r="D36" s="6" t="n"/>
      <c r="E36" s="6" t="n"/>
      <c r="F36" s="8" t="n"/>
      <c r="G36" s="8" t="n"/>
      <c r="H36" s="6" t="n"/>
    </row>
    <row r="37">
      <c r="A37" s="6" t="n"/>
      <c r="B37" s="24" t="n"/>
      <c r="C37" s="6" t="n"/>
      <c r="D37" s="6" t="n"/>
      <c r="E37" s="6" t="n"/>
      <c r="F37" s="8" t="n"/>
      <c r="G37" s="8" t="n"/>
      <c r="H37" s="6" t="n"/>
    </row>
    <row r="38">
      <c r="A38" s="6" t="n"/>
      <c r="B38" s="24" t="n"/>
      <c r="C38" s="6" t="n"/>
      <c r="D38" s="6" t="n"/>
      <c r="E38" s="6" t="n"/>
      <c r="F38" s="8" t="n"/>
      <c r="G38" s="8" t="n"/>
      <c r="H38" s="6" t="n"/>
    </row>
    <row r="39">
      <c r="A39" s="6" t="n"/>
      <c r="B39" s="24" t="n"/>
      <c r="C39" s="6" t="n"/>
      <c r="D39" s="6" t="n"/>
      <c r="E39" s="6" t="n"/>
      <c r="F39" s="8" t="n"/>
      <c r="G39" s="8" t="n"/>
      <c r="H39" s="6" t="n"/>
    </row>
    <row r="40">
      <c r="A40" s="6" t="n"/>
      <c r="B40" s="24" t="n"/>
      <c r="C40" s="6" t="n"/>
      <c r="D40" s="6" t="n"/>
      <c r="E40" s="6" t="n"/>
      <c r="F40" s="8" t="n"/>
      <c r="G40" s="8" t="n"/>
      <c r="H40" s="6" t="n"/>
    </row>
    <row r="41">
      <c r="A41" s="6" t="n"/>
      <c r="B41" s="24" t="n"/>
      <c r="C41" s="6" t="n"/>
      <c r="D41" s="6" t="n"/>
      <c r="E41" s="6" t="n"/>
      <c r="F41" s="8" t="n"/>
      <c r="G41" s="8" t="n"/>
      <c r="H41" s="6" t="n"/>
    </row>
    <row r="42">
      <c r="A42" s="6" t="n"/>
      <c r="B42" s="24" t="n"/>
      <c r="C42" s="6" t="n"/>
      <c r="D42" s="6" t="n"/>
      <c r="E42" s="6" t="n"/>
      <c r="F42" s="8" t="n"/>
      <c r="G42" s="8" t="n"/>
      <c r="H42" s="6" t="n"/>
    </row>
    <row r="43">
      <c r="A43" s="6" t="n"/>
      <c r="B43" s="24" t="n"/>
      <c r="C43" s="6" t="n"/>
      <c r="D43" s="6" t="n"/>
      <c r="E43" s="6" t="n"/>
      <c r="F43" s="8" t="n"/>
      <c r="G43" s="8" t="n"/>
      <c r="H43" s="6" t="n"/>
    </row>
    <row r="44">
      <c r="A44" s="6" t="n"/>
      <c r="B44" s="24" t="n"/>
      <c r="C44" s="6" t="n"/>
      <c r="D44" s="6" t="n"/>
      <c r="E44" s="6" t="n"/>
      <c r="F44" s="8" t="n"/>
      <c r="G44" s="8" t="n"/>
      <c r="H44" s="6" t="n"/>
    </row>
    <row r="45">
      <c r="A45" s="6" t="n"/>
      <c r="B45" s="24" t="n"/>
      <c r="C45" s="6" t="n"/>
      <c r="D45" s="6" t="n"/>
      <c r="E45" s="6" t="n"/>
      <c r="F45" s="8" t="n"/>
      <c r="G45" s="8" t="n"/>
      <c r="H45" s="6" t="n"/>
    </row>
    <row r="46">
      <c r="A46" s="6" t="n"/>
      <c r="B46" s="24" t="n"/>
      <c r="C46" s="6" t="n"/>
      <c r="D46" s="6" t="n"/>
      <c r="E46" s="6" t="n"/>
      <c r="F46" s="8" t="n"/>
      <c r="G46" s="8" t="n"/>
      <c r="H46" s="6" t="n"/>
    </row>
    <row r="47">
      <c r="A47" s="6" t="n"/>
      <c r="B47" s="24" t="n"/>
      <c r="C47" s="6" t="n"/>
      <c r="D47" s="6" t="n"/>
      <c r="E47" s="6" t="n"/>
      <c r="F47" s="8" t="n"/>
      <c r="G47" s="8" t="n"/>
      <c r="H47" s="6" t="n"/>
    </row>
    <row r="48">
      <c r="A48" s="6" t="n"/>
      <c r="B48" s="24" t="n"/>
      <c r="C48" s="6" t="n"/>
      <c r="D48" s="6" t="n"/>
      <c r="E48" s="6" t="n"/>
      <c r="F48" s="8" t="n"/>
      <c r="G48" s="8" t="n"/>
      <c r="H48" s="6" t="n"/>
    </row>
    <row r="49">
      <c r="A49" s="6" t="n"/>
      <c r="B49" s="24" t="n"/>
      <c r="C49" s="6" t="n"/>
      <c r="D49" s="6" t="n"/>
      <c r="E49" s="6" t="n"/>
      <c r="F49" s="8" t="n"/>
      <c r="G49" s="8" t="n"/>
      <c r="H49" s="6" t="n"/>
    </row>
    <row r="50">
      <c r="A50" s="6" t="n"/>
      <c r="B50" s="24" t="n"/>
      <c r="C50" s="6" t="n"/>
      <c r="D50" s="6" t="n"/>
      <c r="E50" s="6" t="n"/>
      <c r="F50" s="8" t="n"/>
      <c r="G50" s="8" t="n"/>
      <c r="H50" s="6" t="n"/>
    </row>
    <row r="51">
      <c r="A51" s="6" t="n"/>
      <c r="B51" s="24" t="n"/>
      <c r="C51" s="6" t="n"/>
      <c r="D51" s="6" t="n"/>
      <c r="E51" s="6" t="n"/>
      <c r="F51" s="8" t="n"/>
      <c r="G51" s="8" t="n"/>
      <c r="H51" s="6" t="n"/>
    </row>
    <row r="52">
      <c r="A52" s="6" t="n"/>
      <c r="B52" s="24" t="n"/>
      <c r="C52" s="6" t="n"/>
      <c r="D52" s="6" t="n"/>
      <c r="E52" s="6" t="n"/>
      <c r="F52" s="8" t="n"/>
      <c r="G52" s="8" t="n"/>
      <c r="H52" s="6" t="n"/>
    </row>
    <row r="53">
      <c r="A53" s="6" t="n"/>
      <c r="B53" s="24" t="n"/>
      <c r="C53" s="6" t="n"/>
      <c r="D53" s="6" t="n"/>
      <c r="E53" s="6" t="n"/>
      <c r="F53" s="8" t="n"/>
      <c r="G53" s="8" t="n"/>
      <c r="H53" s="6" t="n"/>
    </row>
    <row r="54">
      <c r="A54" s="6" t="n"/>
      <c r="B54" s="24" t="n"/>
      <c r="C54" s="6" t="n"/>
      <c r="D54" s="6" t="n"/>
      <c r="E54" s="6" t="n"/>
      <c r="F54" s="8" t="n"/>
      <c r="G54" s="8" t="n"/>
      <c r="H54" s="6" t="n"/>
    </row>
    <row r="55">
      <c r="A55" s="6" t="n"/>
      <c r="B55" s="24" t="n"/>
      <c r="C55" s="6" t="n"/>
      <c r="D55" s="6" t="n"/>
      <c r="E55" s="6" t="n"/>
      <c r="F55" s="8" t="n"/>
      <c r="G55" s="8" t="n"/>
      <c r="H55" s="6" t="n"/>
    </row>
    <row r="56">
      <c r="A56" s="6" t="n"/>
      <c r="B56" s="24" t="n"/>
      <c r="C56" s="6" t="n"/>
      <c r="D56" s="6" t="n"/>
      <c r="E56" s="6" t="n"/>
      <c r="F56" s="8" t="n"/>
      <c r="G56" s="8" t="n"/>
      <c r="H56" s="6" t="n"/>
    </row>
    <row r="57">
      <c r="A57" s="6" t="n"/>
      <c r="B57" s="24" t="n"/>
      <c r="C57" s="6" t="n"/>
      <c r="D57" s="6" t="n"/>
      <c r="E57" s="6" t="n"/>
      <c r="F57" s="8" t="n"/>
      <c r="G57" s="8" t="n"/>
      <c r="H57" s="6" t="n"/>
    </row>
    <row r="58">
      <c r="A58" s="6" t="n"/>
      <c r="B58" s="24" t="n"/>
      <c r="C58" s="6" t="n"/>
      <c r="D58" s="6" t="n"/>
      <c r="E58" s="6" t="n"/>
      <c r="F58" s="8" t="n"/>
      <c r="G58" s="8" t="n"/>
      <c r="H58" s="6" t="n"/>
    </row>
    <row r="59">
      <c r="A59" s="6" t="n"/>
      <c r="B59" s="24" t="n"/>
      <c r="C59" s="6" t="n"/>
      <c r="D59" s="6" t="n"/>
      <c r="E59" s="6" t="n"/>
      <c r="F59" s="8" t="n"/>
      <c r="G59" s="8" t="n"/>
      <c r="H59" s="6" t="n"/>
    </row>
    <row r="60">
      <c r="A60" s="6" t="n"/>
      <c r="B60" s="24" t="n"/>
      <c r="C60" s="6" t="n"/>
      <c r="D60" s="6" t="n"/>
      <c r="E60" s="6" t="n"/>
      <c r="F60" s="8" t="n"/>
      <c r="G60" s="8" t="n"/>
      <c r="H60" s="6" t="n"/>
    </row>
    <row r="61">
      <c r="A61" s="6" t="n"/>
      <c r="B61" s="24" t="n"/>
      <c r="C61" s="6" t="n"/>
      <c r="D61" s="6" t="n"/>
      <c r="E61" s="6" t="n"/>
      <c r="F61" s="8" t="n"/>
      <c r="G61" s="8" t="n"/>
      <c r="H61" s="6" t="n"/>
    </row>
    <row r="62">
      <c r="A62" s="6" t="n"/>
      <c r="B62" s="24" t="n"/>
      <c r="C62" s="6" t="n"/>
      <c r="D62" s="6" t="n"/>
      <c r="E62" s="6" t="n"/>
      <c r="F62" s="8" t="n"/>
      <c r="G62" s="8" t="n"/>
      <c r="H62" s="6" t="n"/>
    </row>
    <row r="63">
      <c r="A63" s="6" t="n"/>
      <c r="B63" s="24" t="n"/>
      <c r="C63" s="6" t="n"/>
      <c r="D63" s="6" t="n"/>
      <c r="E63" s="6" t="n"/>
      <c r="F63" s="8" t="n"/>
      <c r="G63" s="8" t="n"/>
      <c r="H63" s="6" t="n"/>
    </row>
    <row r="64">
      <c r="A64" s="6" t="n"/>
      <c r="B64" s="24" t="n"/>
      <c r="C64" s="6" t="n"/>
      <c r="D64" s="6" t="n"/>
      <c r="E64" s="6" t="n"/>
      <c r="F64" s="8" t="n"/>
      <c r="G64" s="8" t="n"/>
      <c r="H64" s="6" t="n"/>
    </row>
    <row r="65">
      <c r="A65" s="6" t="n"/>
      <c r="B65" s="24" t="n"/>
      <c r="C65" s="6" t="n"/>
      <c r="D65" s="6" t="n"/>
      <c r="E65" s="6" t="n"/>
      <c r="F65" s="8" t="n"/>
      <c r="G65" s="8" t="n"/>
      <c r="H65" s="6" t="n"/>
    </row>
    <row r="66">
      <c r="A66" s="6" t="n"/>
      <c r="B66" s="24" t="n"/>
      <c r="C66" s="6" t="n"/>
      <c r="D66" s="6" t="n"/>
      <c r="E66" s="6" t="n"/>
      <c r="F66" s="8" t="n"/>
      <c r="G66" s="8" t="n"/>
      <c r="H66" s="6" t="n"/>
    </row>
    <row r="67">
      <c r="A67" s="6" t="n"/>
      <c r="B67" s="24" t="n"/>
      <c r="C67" s="6" t="n"/>
      <c r="D67" s="6" t="n"/>
      <c r="E67" s="6" t="n"/>
      <c r="F67" s="8" t="n"/>
      <c r="G67" s="8" t="n"/>
      <c r="H67" s="6" t="n"/>
    </row>
    <row r="68">
      <c r="A68" s="6" t="n"/>
      <c r="B68" s="24" t="n"/>
      <c r="C68" s="6" t="n"/>
      <c r="D68" s="6" t="n"/>
      <c r="E68" s="6" t="n"/>
      <c r="F68" s="8" t="n"/>
      <c r="G68" s="8" t="n"/>
      <c r="H68" s="6" t="n"/>
    </row>
    <row r="69">
      <c r="A69" s="6" t="n"/>
      <c r="B69" s="24" t="n"/>
      <c r="C69" s="6" t="n"/>
      <c r="D69" s="6" t="n"/>
      <c r="E69" s="6" t="n"/>
      <c r="F69" s="8" t="n"/>
      <c r="G69" s="8" t="n"/>
      <c r="H69" s="6" t="n"/>
    </row>
    <row r="70">
      <c r="A70" s="6" t="n"/>
      <c r="B70" s="24" t="n"/>
      <c r="C70" s="6" t="n"/>
      <c r="D70" s="6" t="n"/>
      <c r="E70" s="6" t="n"/>
      <c r="F70" s="8" t="n"/>
      <c r="G70" s="8" t="n"/>
      <c r="H70" s="6" t="n"/>
    </row>
    <row r="71">
      <c r="A71" s="6" t="n"/>
      <c r="B71" s="24" t="n"/>
      <c r="C71" s="6" t="n"/>
      <c r="D71" s="6" t="n"/>
      <c r="E71" s="6" t="n"/>
      <c r="F71" s="8" t="n"/>
      <c r="G71" s="8" t="n"/>
      <c r="H71" s="6" t="n"/>
    </row>
    <row r="72">
      <c r="A72" s="6" t="n"/>
      <c r="B72" s="24" t="n"/>
      <c r="C72" s="6" t="n"/>
      <c r="D72" s="6" t="n"/>
      <c r="E72" s="6" t="n"/>
      <c r="F72" s="8" t="n"/>
      <c r="G72" s="8" t="n"/>
      <c r="H72" s="6" t="n"/>
    </row>
    <row r="73">
      <c r="A73" s="6" t="n"/>
      <c r="B73" s="24" t="n"/>
      <c r="C73" s="6" t="n"/>
      <c r="D73" s="6" t="n"/>
      <c r="E73" s="6" t="n"/>
      <c r="F73" s="8" t="n"/>
      <c r="G73" s="8" t="n"/>
      <c r="H73" s="6" t="n"/>
    </row>
    <row r="74">
      <c r="A74" s="6" t="n"/>
      <c r="B74" s="24" t="n"/>
      <c r="C74" s="6" t="n"/>
      <c r="D74" s="6" t="n"/>
      <c r="E74" s="6" t="n"/>
      <c r="F74" s="8" t="n"/>
      <c r="G74" s="8" t="n"/>
      <c r="H74" s="6" t="n"/>
    </row>
    <row r="75">
      <c r="A75" s="6" t="n"/>
      <c r="B75" s="24" t="n"/>
      <c r="C75" s="6" t="n"/>
      <c r="D75" s="6" t="n"/>
      <c r="E75" s="6" t="n"/>
      <c r="F75" s="8" t="n"/>
      <c r="G75" s="8" t="n"/>
      <c r="H75" s="6" t="n"/>
    </row>
    <row r="76">
      <c r="A76" s="6" t="n"/>
      <c r="B76" s="24" t="n"/>
      <c r="C76" s="6" t="n"/>
      <c r="D76" s="6" t="n"/>
      <c r="E76" s="6" t="n"/>
      <c r="F76" s="8" t="n"/>
      <c r="G76" s="8" t="n"/>
      <c r="H76" s="6" t="n"/>
    </row>
    <row r="77">
      <c r="A77" s="6" t="n"/>
      <c r="B77" s="24" t="n"/>
      <c r="C77" s="6" t="n"/>
      <c r="D77" s="6" t="n"/>
      <c r="E77" s="6" t="n"/>
      <c r="F77" s="8" t="n"/>
      <c r="G77" s="8" t="n"/>
      <c r="H77" s="6" t="n"/>
    </row>
    <row r="78">
      <c r="A78" s="6" t="n"/>
      <c r="B78" s="24" t="n"/>
      <c r="C78" s="6" t="n"/>
      <c r="D78" s="6" t="n"/>
      <c r="E78" s="6" t="n"/>
      <c r="F78" s="8" t="n"/>
      <c r="G78" s="8" t="n"/>
      <c r="H78" s="6" t="n"/>
    </row>
    <row r="79">
      <c r="A79" s="6" t="n"/>
      <c r="B79" s="24" t="n"/>
      <c r="C79" s="6" t="n"/>
      <c r="D79" s="6" t="n"/>
      <c r="E79" s="6" t="n"/>
      <c r="F79" s="8" t="n"/>
      <c r="G79" s="8" t="n"/>
      <c r="H79" s="6" t="n"/>
    </row>
    <row r="80">
      <c r="A80" s="6" t="n"/>
      <c r="B80" s="24" t="n"/>
      <c r="C80" s="6" t="n"/>
      <c r="D80" s="6" t="n"/>
      <c r="E80" s="6" t="n"/>
      <c r="F80" s="8" t="n"/>
      <c r="G80" s="8" t="n"/>
      <c r="H80" s="6" t="n"/>
    </row>
    <row r="81">
      <c r="A81" s="6" t="n"/>
      <c r="B81" s="24" t="n"/>
      <c r="C81" s="6" t="n"/>
      <c r="D81" s="6" t="n"/>
      <c r="E81" s="6" t="n"/>
      <c r="F81" s="8" t="n"/>
      <c r="G81" s="8" t="n"/>
      <c r="H81" s="6" t="n"/>
    </row>
    <row r="82">
      <c r="A82" s="6" t="n"/>
      <c r="B82" s="24" t="n"/>
      <c r="C82" s="6" t="n"/>
      <c r="D82" s="6" t="n"/>
      <c r="E82" s="6" t="n"/>
      <c r="F82" s="8" t="n"/>
      <c r="G82" s="8" t="n"/>
      <c r="H82" s="6" t="n"/>
    </row>
    <row r="83">
      <c r="A83" s="6" t="n"/>
      <c r="B83" s="24" t="n"/>
      <c r="C83" s="6" t="n"/>
      <c r="D83" s="6" t="n"/>
      <c r="E83" s="6" t="n"/>
      <c r="F83" s="8" t="n"/>
      <c r="G83" s="8" t="n"/>
      <c r="H83" s="6" t="n"/>
    </row>
    <row r="84">
      <c r="A84" s="6" t="n"/>
      <c r="B84" s="24" t="n"/>
      <c r="C84" s="6" t="n"/>
      <c r="D84" s="6" t="n"/>
      <c r="E84" s="6" t="n"/>
      <c r="F84" s="8" t="n"/>
      <c r="G84" s="8" t="n"/>
      <c r="H84" s="6" t="n"/>
    </row>
    <row r="85">
      <c r="A85" s="6" t="n"/>
      <c r="B85" s="24" t="n"/>
      <c r="C85" s="6" t="n"/>
      <c r="D85" s="6" t="n"/>
      <c r="E85" s="6" t="n"/>
      <c r="F85" s="8" t="n"/>
      <c r="G85" s="8" t="n"/>
      <c r="H85" s="6" t="n"/>
    </row>
    <row r="86">
      <c r="A86" s="6" t="n"/>
      <c r="B86" s="24" t="n"/>
      <c r="C86" s="6" t="n"/>
      <c r="D86" s="6" t="n"/>
      <c r="E86" s="6" t="n"/>
      <c r="F86" s="8" t="n"/>
      <c r="G86" s="8" t="n"/>
      <c r="H86" s="6" t="n"/>
    </row>
    <row r="87">
      <c r="A87" s="6" t="n"/>
      <c r="B87" s="24" t="n"/>
      <c r="C87" s="6" t="n"/>
      <c r="D87" s="6" t="n"/>
      <c r="E87" s="6" t="n"/>
      <c r="F87" s="8" t="n"/>
      <c r="G87" s="8" t="n"/>
      <c r="H87" s="6" t="n"/>
    </row>
    <row r="88">
      <c r="A88" s="6" t="n"/>
      <c r="B88" s="24" t="n"/>
      <c r="C88" s="6" t="n"/>
      <c r="D88" s="6" t="n"/>
      <c r="E88" s="6" t="n"/>
      <c r="F88" s="8" t="n"/>
      <c r="G88" s="8" t="n"/>
      <c r="H88" s="6" t="n"/>
    </row>
    <row r="89">
      <c r="A89" s="6" t="n"/>
      <c r="B89" s="24" t="n"/>
      <c r="C89" s="6" t="n"/>
      <c r="D89" s="6" t="n"/>
      <c r="E89" s="6" t="n"/>
      <c r="F89" s="8" t="n"/>
      <c r="G89" s="8" t="n"/>
      <c r="H89" s="6" t="n"/>
    </row>
    <row r="90">
      <c r="A90" s="6" t="n"/>
      <c r="B90" s="24" t="n"/>
      <c r="C90" s="6" t="n"/>
      <c r="D90" s="6" t="n"/>
      <c r="E90" s="6" t="n"/>
      <c r="F90" s="8" t="n"/>
      <c r="G90" s="8" t="n"/>
      <c r="H90" s="6" t="n"/>
    </row>
    <row r="91">
      <c r="A91" s="6" t="n"/>
      <c r="B91" s="24" t="n"/>
      <c r="C91" s="6" t="n"/>
      <c r="D91" s="6" t="n"/>
      <c r="E91" s="6" t="n"/>
      <c r="F91" s="8" t="n"/>
      <c r="G91" s="8" t="n"/>
      <c r="H91" s="6" t="n"/>
    </row>
    <row r="92">
      <c r="A92" s="6" t="n"/>
      <c r="B92" s="24" t="n"/>
      <c r="C92" s="6" t="n"/>
      <c r="D92" s="6" t="n"/>
      <c r="E92" s="6" t="n"/>
      <c r="F92" s="8" t="n"/>
      <c r="G92" s="8" t="n"/>
      <c r="H92" s="6" t="n"/>
    </row>
    <row r="93">
      <c r="A93" s="6" t="n"/>
      <c r="B93" s="24" t="n"/>
      <c r="C93" s="6" t="n"/>
      <c r="D93" s="6" t="n"/>
      <c r="E93" s="6" t="n"/>
      <c r="F93" s="8" t="n"/>
      <c r="G93" s="8" t="n"/>
      <c r="H93" s="6" t="n"/>
    </row>
    <row r="94">
      <c r="A94" s="6" t="n"/>
      <c r="B94" s="24" t="n"/>
      <c r="C94" s="6" t="n"/>
      <c r="D94" s="6" t="n"/>
      <c r="E94" s="6" t="n"/>
      <c r="F94" s="8" t="n"/>
      <c r="G94" s="8" t="n"/>
      <c r="H94" s="6" t="n"/>
    </row>
    <row r="95">
      <c r="A95" s="6" t="n"/>
      <c r="B95" s="24" t="n"/>
      <c r="C95" s="6" t="n"/>
      <c r="D95" s="6" t="n"/>
      <c r="E95" s="6" t="n"/>
      <c r="F95" s="8" t="n"/>
      <c r="G95" s="8" t="n"/>
      <c r="H95" s="6" t="n"/>
    </row>
    <row r="96">
      <c r="A96" s="6" t="n"/>
      <c r="B96" s="24" t="n"/>
      <c r="C96" s="6" t="n"/>
      <c r="D96" s="6" t="n"/>
      <c r="E96" s="6" t="n"/>
      <c r="F96" s="8" t="n"/>
      <c r="G96" s="8" t="n"/>
      <c r="H96" s="6" t="n"/>
    </row>
    <row r="97">
      <c r="A97" s="6" t="n"/>
      <c r="B97" s="24" t="n"/>
      <c r="C97" s="6" t="n"/>
      <c r="D97" s="6" t="n"/>
      <c r="E97" s="6" t="n"/>
      <c r="F97" s="8" t="n"/>
      <c r="G97" s="8" t="n"/>
      <c r="H97" s="6" t="n"/>
    </row>
    <row r="98">
      <c r="A98" s="6" t="n"/>
      <c r="B98" s="24" t="n"/>
      <c r="C98" s="6" t="n"/>
      <c r="D98" s="6" t="n"/>
      <c r="E98" s="6" t="n"/>
      <c r="F98" s="8" t="n"/>
      <c r="G98" s="8" t="n"/>
      <c r="H98" s="6" t="n"/>
    </row>
    <row r="99">
      <c r="A99" s="6" t="n"/>
      <c r="B99" s="24" t="n"/>
      <c r="C99" s="6" t="n"/>
      <c r="D99" s="6" t="n"/>
      <c r="E99" s="6" t="n"/>
      <c r="F99" s="8" t="n"/>
      <c r="G99" s="8" t="n"/>
      <c r="H99" s="6" t="n"/>
    </row>
    <row r="100">
      <c r="A100" s="6" t="n"/>
      <c r="B100" s="24" t="n"/>
      <c r="C100" s="6" t="n"/>
      <c r="D100" s="6" t="n"/>
      <c r="E100" s="6" t="n"/>
      <c r="F100" s="8" t="n"/>
      <c r="G100" s="8" t="n"/>
      <c r="H100" s="6" t="n"/>
    </row>
    <row r="101">
      <c r="A101" s="6" t="n"/>
      <c r="B101" s="24" t="n"/>
      <c r="C101" s="6" t="n"/>
      <c r="D101" s="6" t="n"/>
      <c r="E101" s="6" t="n"/>
      <c r="F101" s="8" t="n"/>
      <c r="G101" s="8" t="n"/>
      <c r="H101" s="6" t="n"/>
    </row>
    <row r="102">
      <c r="A102" s="6" t="n"/>
      <c r="B102" s="24" t="n"/>
      <c r="C102" s="6" t="n"/>
      <c r="D102" s="6" t="n"/>
      <c r="E102" s="6" t="n"/>
      <c r="F102" s="8" t="n"/>
      <c r="G102" s="8" t="n"/>
      <c r="H102" s="6" t="n"/>
    </row>
    <row r="103">
      <c r="A103" s="6" t="n"/>
      <c r="B103" s="24" t="n"/>
      <c r="C103" s="6" t="n"/>
      <c r="D103" s="6" t="n"/>
      <c r="E103" s="6" t="n"/>
      <c r="F103" s="8" t="n"/>
      <c r="G103" s="8" t="n"/>
      <c r="H103" s="6" t="n"/>
    </row>
    <row r="104">
      <c r="A104" s="6" t="n"/>
      <c r="B104" s="24" t="n"/>
      <c r="C104" s="6" t="n"/>
      <c r="D104" s="6" t="n"/>
      <c r="E104" s="6" t="n"/>
      <c r="F104" s="8" t="n"/>
      <c r="G104" s="8" t="n"/>
      <c r="H104" s="6" t="n"/>
    </row>
    <row r="105">
      <c r="A105" s="6" t="n"/>
      <c r="B105" s="24" t="n"/>
      <c r="C105" s="6" t="n"/>
      <c r="D105" s="6" t="n"/>
      <c r="E105" s="6" t="n"/>
      <c r="F105" s="8" t="n"/>
      <c r="G105" s="8" t="n"/>
      <c r="H105" s="6" t="n"/>
    </row>
    <row r="106">
      <c r="A106" s="6" t="n"/>
      <c r="B106" s="24" t="n"/>
      <c r="C106" s="6" t="n"/>
      <c r="D106" s="6" t="n"/>
      <c r="E106" s="6" t="n"/>
      <c r="F106" s="8" t="n"/>
      <c r="G106" s="8" t="n"/>
      <c r="H106" s="6" t="n"/>
    </row>
    <row r="107">
      <c r="A107" s="6" t="n"/>
      <c r="B107" s="24" t="n"/>
      <c r="C107" s="6" t="n"/>
      <c r="D107" s="6" t="n"/>
      <c r="E107" s="6" t="n"/>
      <c r="F107" s="8" t="n"/>
      <c r="G107" s="8" t="n"/>
      <c r="H107" s="6" t="n"/>
    </row>
    <row r="108">
      <c r="A108" s="6" t="n"/>
      <c r="B108" s="24" t="n"/>
      <c r="C108" s="6" t="n"/>
      <c r="D108" s="6" t="n"/>
      <c r="E108" s="6" t="n"/>
      <c r="F108" s="8" t="n"/>
      <c r="G108" s="8" t="n"/>
      <c r="H108" s="6" t="n"/>
    </row>
    <row r="109">
      <c r="A109" s="6" t="n"/>
      <c r="B109" s="24" t="n"/>
      <c r="C109" s="6" t="n"/>
      <c r="D109" s="6" t="n"/>
      <c r="E109" s="6" t="n"/>
      <c r="F109" s="8" t="n"/>
      <c r="G109" s="8" t="n"/>
      <c r="H109" s="6" t="n"/>
    </row>
    <row r="110">
      <c r="A110" s="6" t="n"/>
      <c r="B110" s="24" t="n"/>
      <c r="C110" s="6" t="n"/>
      <c r="D110" s="6" t="n"/>
      <c r="E110" s="6" t="n"/>
      <c r="F110" s="8" t="n"/>
      <c r="G110" s="8" t="n"/>
      <c r="H110" s="6" t="n"/>
    </row>
    <row r="111">
      <c r="A111" s="6" t="n"/>
      <c r="B111" s="24" t="n"/>
      <c r="C111" s="6" t="n"/>
      <c r="D111" s="6" t="n"/>
      <c r="E111" s="6" t="n"/>
      <c r="F111" s="8" t="n"/>
      <c r="G111" s="8" t="n"/>
      <c r="H111" s="6" t="n"/>
    </row>
    <row r="112">
      <c r="A112" s="6" t="n"/>
      <c r="B112" s="24" t="n"/>
      <c r="C112" s="6" t="n"/>
      <c r="D112" s="6" t="n"/>
      <c r="E112" s="6" t="n"/>
      <c r="F112" s="8" t="n"/>
      <c r="G112" s="8" t="n"/>
      <c r="H112" s="6" t="n"/>
    </row>
    <row r="113">
      <c r="A113" s="6" t="n"/>
      <c r="B113" s="24" t="n"/>
      <c r="C113" s="6" t="n"/>
      <c r="D113" s="6" t="n"/>
      <c r="E113" s="6" t="n"/>
      <c r="F113" s="8" t="n"/>
      <c r="G113" s="8" t="n"/>
      <c r="H113" s="6" t="n"/>
    </row>
    <row r="114">
      <c r="A114" s="6" t="n"/>
      <c r="B114" s="24" t="n"/>
      <c r="C114" s="6" t="n"/>
      <c r="D114" s="6" t="n"/>
      <c r="E114" s="6" t="n"/>
      <c r="F114" s="8" t="n"/>
      <c r="G114" s="8" t="n"/>
      <c r="H114" s="6" t="n"/>
    </row>
    <row r="115">
      <c r="A115" s="6" t="n"/>
      <c r="B115" s="24" t="n"/>
      <c r="C115" s="6" t="n"/>
      <c r="D115" s="6" t="n"/>
      <c r="E115" s="6" t="n"/>
      <c r="F115" s="8" t="n"/>
      <c r="G115" s="8" t="n"/>
      <c r="H115" s="6" t="n"/>
    </row>
    <row r="116">
      <c r="A116" s="6" t="n"/>
      <c r="B116" s="24" t="n"/>
      <c r="C116" s="6" t="n"/>
      <c r="D116" s="6" t="n"/>
      <c r="E116" s="6" t="n"/>
      <c r="F116" s="8" t="n"/>
      <c r="G116" s="8" t="n"/>
      <c r="H116" s="6" t="n"/>
    </row>
    <row r="117">
      <c r="A117" s="6" t="n"/>
      <c r="B117" s="24" t="n"/>
      <c r="C117" s="6" t="n"/>
      <c r="D117" s="6" t="n"/>
      <c r="E117" s="6" t="n"/>
      <c r="F117" s="8" t="n"/>
      <c r="G117" s="8" t="n"/>
      <c r="H117" s="6" t="n"/>
    </row>
    <row r="118">
      <c r="A118" s="6" t="n"/>
      <c r="B118" s="24" t="n"/>
      <c r="C118" s="6" t="n"/>
      <c r="D118" s="6" t="n"/>
      <c r="E118" s="6" t="n"/>
      <c r="F118" s="8" t="n"/>
      <c r="G118" s="8" t="n"/>
      <c r="H118" s="6" t="n"/>
    </row>
    <row r="119">
      <c r="A119" s="6" t="n"/>
      <c r="B119" s="24" t="n"/>
      <c r="C119" s="6" t="n"/>
      <c r="D119" s="6" t="n"/>
      <c r="E119" s="6" t="n"/>
      <c r="F119" s="8" t="n"/>
      <c r="G119" s="8" t="n"/>
      <c r="H119" s="6" t="n"/>
    </row>
    <row r="120">
      <c r="A120" s="6" t="n"/>
      <c r="B120" s="24" t="n"/>
      <c r="C120" s="6" t="n"/>
      <c r="D120" s="6" t="n"/>
      <c r="E120" s="6" t="n"/>
      <c r="F120" s="8" t="n"/>
      <c r="G120" s="8" t="n"/>
      <c r="H120" s="6" t="n"/>
    </row>
    <row r="121">
      <c r="A121" s="6" t="n"/>
      <c r="B121" s="24" t="n"/>
      <c r="C121" s="6" t="n"/>
      <c r="D121" s="6" t="n"/>
      <c r="E121" s="6" t="n"/>
      <c r="F121" s="8" t="n"/>
      <c r="G121" s="8" t="n"/>
      <c r="H121" s="6" t="n"/>
    </row>
    <row r="122">
      <c r="A122" s="6" t="n"/>
      <c r="B122" s="24" t="n"/>
      <c r="C122" s="6" t="n"/>
      <c r="D122" s="6" t="n"/>
      <c r="E122" s="6" t="n"/>
      <c r="F122" s="8" t="n"/>
      <c r="G122" s="8" t="n"/>
      <c r="H122" s="6" t="n"/>
    </row>
    <row r="123">
      <c r="A123" s="6" t="n"/>
      <c r="B123" s="24" t="n"/>
      <c r="C123" s="6" t="n"/>
      <c r="D123" s="6" t="n"/>
      <c r="E123" s="6" t="n"/>
      <c r="F123" s="8" t="n"/>
      <c r="G123" s="8" t="n"/>
      <c r="H123" s="6" t="n"/>
    </row>
    <row r="124">
      <c r="A124" s="6" t="n"/>
      <c r="B124" s="24" t="n"/>
      <c r="C124" s="6" t="n"/>
      <c r="D124" s="6" t="n"/>
      <c r="E124" s="6" t="n"/>
      <c r="F124" s="8" t="n"/>
      <c r="G124" s="8" t="n"/>
      <c r="H124" s="6" t="n"/>
    </row>
    <row r="125">
      <c r="A125" s="6" t="n"/>
      <c r="B125" s="24" t="n"/>
      <c r="C125" s="6" t="n"/>
      <c r="D125" s="6" t="n"/>
      <c r="E125" s="6" t="n"/>
      <c r="F125" s="8" t="n"/>
      <c r="G125" s="8" t="n"/>
      <c r="H125" s="6" t="n"/>
    </row>
    <row r="126">
      <c r="A126" s="6" t="n"/>
      <c r="B126" s="24" t="n"/>
      <c r="C126" s="6" t="n"/>
      <c r="D126" s="6" t="n"/>
      <c r="E126" s="6" t="n"/>
      <c r="F126" s="8" t="n"/>
      <c r="G126" s="8" t="n"/>
      <c r="H126" s="6" t="n"/>
    </row>
    <row r="127">
      <c r="A127" s="6" t="n"/>
      <c r="B127" s="24" t="n"/>
      <c r="C127" s="6" t="n"/>
      <c r="D127" s="6" t="n"/>
      <c r="E127" s="6" t="n"/>
      <c r="F127" s="8" t="n"/>
      <c r="G127" s="8" t="n"/>
      <c r="H127" s="6" t="n"/>
    </row>
    <row r="128">
      <c r="A128" s="6" t="n"/>
      <c r="B128" s="24" t="n"/>
      <c r="C128" s="6" t="n"/>
      <c r="D128" s="6" t="n"/>
      <c r="E128" s="6" t="n"/>
      <c r="F128" s="8" t="n"/>
      <c r="G128" s="8" t="n"/>
      <c r="H128" s="6" t="n"/>
    </row>
    <row r="129">
      <c r="A129" s="6" t="n"/>
      <c r="B129" s="24" t="n"/>
      <c r="C129" s="6" t="n"/>
      <c r="D129" s="6" t="n"/>
      <c r="E129" s="6" t="n"/>
      <c r="F129" s="8" t="n"/>
      <c r="G129" s="8" t="n"/>
      <c r="H129" s="6" t="n"/>
    </row>
    <row r="130">
      <c r="A130" s="6" t="n"/>
      <c r="B130" s="24" t="n"/>
      <c r="C130" s="6" t="n"/>
      <c r="D130" s="6" t="n"/>
      <c r="E130" s="6" t="n"/>
      <c r="F130" s="8" t="n"/>
      <c r="G130" s="8" t="n"/>
      <c r="H130" s="6" t="n"/>
    </row>
    <row r="131">
      <c r="A131" s="6" t="n"/>
      <c r="B131" s="24" t="n"/>
      <c r="C131" s="6" t="n"/>
      <c r="D131" s="6" t="n"/>
      <c r="E131" s="6" t="n"/>
      <c r="F131" s="8" t="n"/>
      <c r="G131" s="8" t="n"/>
      <c r="H131" s="6" t="n"/>
    </row>
    <row r="132">
      <c r="A132" s="6" t="n"/>
      <c r="B132" s="24" t="n"/>
      <c r="C132" s="6" t="n"/>
      <c r="D132" s="6" t="n"/>
      <c r="E132" s="6" t="n"/>
      <c r="F132" s="8" t="n"/>
      <c r="G132" s="8" t="n"/>
      <c r="H132" s="6" t="n"/>
    </row>
    <row r="133">
      <c r="A133" s="6" t="n"/>
      <c r="B133" s="24" t="n"/>
      <c r="C133" s="6" t="n"/>
      <c r="D133" s="6" t="n"/>
      <c r="E133" s="6" t="n"/>
      <c r="F133" s="8" t="n"/>
      <c r="G133" s="8" t="n"/>
      <c r="H133" s="6" t="n"/>
    </row>
    <row r="134">
      <c r="A134" s="6" t="n"/>
      <c r="B134" s="24" t="n"/>
      <c r="C134" s="6" t="n"/>
      <c r="D134" s="6" t="n"/>
      <c r="E134" s="6" t="n"/>
      <c r="F134" s="8" t="n"/>
      <c r="G134" s="8" t="n"/>
      <c r="H134" s="6" t="n"/>
    </row>
    <row r="135">
      <c r="A135" s="6" t="n"/>
      <c r="B135" s="24" t="n"/>
      <c r="C135" s="6" t="n"/>
      <c r="D135" s="6" t="n"/>
      <c r="E135" s="6" t="n"/>
      <c r="F135" s="8" t="n"/>
      <c r="G135" s="8" t="n"/>
      <c r="H135" s="6" t="n"/>
    </row>
    <row r="136">
      <c r="A136" s="6" t="n"/>
      <c r="B136" s="24" t="n"/>
      <c r="C136" s="6" t="n"/>
      <c r="D136" s="6" t="n"/>
      <c r="E136" s="6" t="n"/>
      <c r="F136" s="8" t="n"/>
      <c r="G136" s="8" t="n"/>
      <c r="H136" s="6" t="n"/>
    </row>
    <row r="137">
      <c r="A137" s="6" t="n"/>
      <c r="B137" s="24" t="n"/>
      <c r="C137" s="6" t="n"/>
      <c r="D137" s="6" t="n"/>
      <c r="E137" s="6" t="n"/>
      <c r="F137" s="8" t="n"/>
      <c r="G137" s="8" t="n"/>
      <c r="H137" s="6" t="n"/>
    </row>
    <row r="138">
      <c r="A138" s="6" t="n"/>
      <c r="B138" s="24" t="n"/>
      <c r="C138" s="6" t="n"/>
      <c r="D138" s="6" t="n"/>
      <c r="E138" s="6" t="n"/>
      <c r="F138" s="8" t="n"/>
      <c r="G138" s="8" t="n"/>
      <c r="H138" s="6" t="n"/>
    </row>
    <row r="139">
      <c r="A139" s="6" t="n"/>
      <c r="B139" s="24" t="n"/>
      <c r="C139" s="6" t="n"/>
      <c r="D139" s="6" t="n"/>
      <c r="E139" s="6" t="n"/>
      <c r="F139" s="8" t="n"/>
      <c r="G139" s="8" t="n"/>
      <c r="H139" s="6" t="n"/>
    </row>
    <row r="140">
      <c r="A140" s="6" t="n"/>
      <c r="B140" s="24" t="n"/>
      <c r="C140" s="6" t="n"/>
      <c r="D140" s="6" t="n"/>
      <c r="E140" s="6" t="n"/>
      <c r="F140" s="8" t="n"/>
      <c r="G140" s="8" t="n"/>
      <c r="H140" s="6" t="n"/>
    </row>
    <row r="141">
      <c r="A141" s="6" t="n"/>
      <c r="B141" s="24" t="n"/>
      <c r="C141" s="6" t="n"/>
      <c r="D141" s="6" t="n"/>
      <c r="E141" s="6" t="n"/>
      <c r="F141" s="8" t="n"/>
      <c r="G141" s="8" t="n"/>
      <c r="H141" s="6" t="n"/>
    </row>
    <row r="142">
      <c r="A142" s="6" t="n"/>
      <c r="B142" s="24" t="n"/>
      <c r="C142" s="6" t="n"/>
      <c r="D142" s="6" t="n"/>
      <c r="E142" s="6" t="n"/>
      <c r="F142" s="8" t="n"/>
      <c r="G142" s="8" t="n"/>
      <c r="H142" s="6" t="n"/>
    </row>
    <row r="143">
      <c r="A143" s="6" t="n"/>
      <c r="B143" s="24" t="n"/>
      <c r="C143" s="6" t="n"/>
      <c r="D143" s="6" t="n"/>
      <c r="E143" s="6" t="n"/>
      <c r="F143" s="8" t="n"/>
      <c r="G143" s="8" t="n"/>
      <c r="H143" s="6" t="n"/>
    </row>
    <row r="144">
      <c r="A144" s="6" t="n"/>
      <c r="B144" s="24" t="n"/>
      <c r="C144" s="6" t="n"/>
      <c r="D144" s="6" t="n"/>
      <c r="E144" s="6" t="n"/>
      <c r="F144" s="8" t="n"/>
      <c r="G144" s="8" t="n"/>
      <c r="H144" s="6" t="n"/>
    </row>
    <row r="145">
      <c r="A145" s="6" t="n"/>
      <c r="B145" s="24" t="n"/>
      <c r="C145" s="6" t="n"/>
      <c r="D145" s="6" t="n"/>
      <c r="E145" s="6" t="n"/>
      <c r="F145" s="8" t="n"/>
      <c r="G145" s="8" t="n"/>
      <c r="H145" s="6" t="n"/>
    </row>
    <row r="146">
      <c r="A146" s="6" t="n"/>
      <c r="B146" s="24" t="n"/>
      <c r="C146" s="6" t="n"/>
      <c r="D146" s="6" t="n"/>
      <c r="E146" s="6" t="n"/>
      <c r="F146" s="8" t="n"/>
      <c r="G146" s="8" t="n"/>
      <c r="H146" s="6" t="n"/>
    </row>
    <row r="147">
      <c r="A147" s="6" t="n"/>
      <c r="B147" s="24" t="n"/>
      <c r="C147" s="6" t="n"/>
      <c r="D147" s="6" t="n"/>
      <c r="E147" s="6" t="n"/>
      <c r="F147" s="8" t="n"/>
      <c r="G147" s="8" t="n"/>
      <c r="H147" s="6" t="n"/>
    </row>
    <row r="148">
      <c r="A148" s="6" t="n"/>
      <c r="B148" s="24" t="n"/>
      <c r="C148" s="6" t="n"/>
      <c r="D148" s="6" t="n"/>
      <c r="E148" s="6" t="n"/>
      <c r="F148" s="8" t="n"/>
      <c r="G148" s="8" t="n"/>
      <c r="H148" s="6" t="n"/>
    </row>
    <row r="149">
      <c r="A149" s="6" t="n"/>
      <c r="B149" s="24" t="n"/>
      <c r="C149" s="6" t="n"/>
      <c r="D149" s="6" t="n"/>
      <c r="E149" s="6" t="n"/>
      <c r="F149" s="8" t="n"/>
      <c r="G149" s="8" t="n"/>
      <c r="H149" s="6" t="n"/>
    </row>
    <row r="150">
      <c r="A150" s="6" t="n"/>
      <c r="B150" s="24" t="n"/>
      <c r="C150" s="6" t="n"/>
      <c r="D150" s="6" t="n"/>
      <c r="E150" s="6" t="n"/>
      <c r="F150" s="8" t="n"/>
      <c r="G150" s="8" t="n"/>
      <c r="H150" s="6" t="n"/>
    </row>
    <row r="151">
      <c r="A151" s="6" t="n"/>
      <c r="B151" s="24" t="n"/>
      <c r="C151" s="6" t="n"/>
      <c r="D151" s="6" t="n"/>
      <c r="E151" s="6" t="n"/>
      <c r="F151" s="8" t="n"/>
      <c r="G151" s="8" t="n"/>
      <c r="H151" s="6" t="n"/>
    </row>
    <row r="152">
      <c r="A152" s="6" t="n"/>
      <c r="B152" s="24" t="n"/>
      <c r="C152" s="6" t="n"/>
      <c r="D152" s="6" t="n"/>
      <c r="E152" s="6" t="n"/>
      <c r="F152" s="8" t="n"/>
      <c r="G152" s="8" t="n"/>
      <c r="H152" s="6" t="n"/>
    </row>
    <row r="153">
      <c r="A153" s="6" t="n"/>
      <c r="B153" s="24" t="n"/>
      <c r="C153" s="6" t="n"/>
      <c r="D153" s="6" t="n"/>
      <c r="E153" s="6" t="n"/>
      <c r="F153" s="8" t="n"/>
      <c r="G153" s="8" t="n"/>
      <c r="H153" s="6" t="n"/>
    </row>
    <row r="154">
      <c r="A154" s="6" t="n"/>
      <c r="B154" s="24" t="n"/>
      <c r="C154" s="6" t="n"/>
      <c r="D154" s="6" t="n"/>
      <c r="E154" s="6" t="n"/>
      <c r="F154" s="8" t="n"/>
      <c r="G154" s="8" t="n"/>
      <c r="H154" s="6" t="n"/>
    </row>
    <row r="155">
      <c r="A155" s="6" t="n"/>
      <c r="B155" s="24" t="n"/>
      <c r="C155" s="6" t="n"/>
      <c r="D155" s="6" t="n"/>
      <c r="E155" s="6" t="n"/>
      <c r="F155" s="8" t="n"/>
      <c r="G155" s="8" t="n"/>
      <c r="H155" s="6" t="n"/>
    </row>
    <row r="156">
      <c r="A156" s="6" t="n"/>
      <c r="B156" s="24" t="n"/>
      <c r="C156" s="6" t="n"/>
      <c r="D156" s="6" t="n"/>
      <c r="E156" s="6" t="n"/>
      <c r="F156" s="8" t="n"/>
      <c r="G156" s="8" t="n"/>
      <c r="H156" s="6" t="n"/>
    </row>
    <row r="157">
      <c r="A157" s="6" t="n"/>
      <c r="B157" s="24" t="n"/>
      <c r="C157" s="6" t="n"/>
      <c r="D157" s="6" t="n"/>
      <c r="E157" s="6" t="n"/>
      <c r="F157" s="8" t="n"/>
      <c r="G157" s="8" t="n"/>
      <c r="H157" s="6" t="n"/>
    </row>
    <row r="158">
      <c r="A158" s="6" t="n"/>
      <c r="B158" s="24" t="n"/>
      <c r="C158" s="6" t="n"/>
      <c r="D158" s="6" t="n"/>
      <c r="E158" s="6" t="n"/>
      <c r="F158" s="8" t="n"/>
      <c r="G158" s="8" t="n"/>
      <c r="H158" s="6" t="n"/>
    </row>
    <row r="159">
      <c r="A159" s="6" t="n"/>
      <c r="B159" s="24" t="n"/>
      <c r="C159" s="6" t="n"/>
      <c r="D159" s="6" t="n"/>
      <c r="E159" s="6" t="n"/>
      <c r="F159" s="8" t="n"/>
      <c r="G159" s="8" t="n"/>
      <c r="H159" s="6" t="n"/>
    </row>
    <row r="160">
      <c r="A160" s="6" t="n"/>
      <c r="B160" s="24" t="n"/>
      <c r="C160" s="6" t="n"/>
      <c r="D160" s="6" t="n"/>
      <c r="E160" s="6" t="n"/>
      <c r="F160" s="8" t="n"/>
      <c r="G160" s="8" t="n"/>
      <c r="H160" s="6" t="n"/>
    </row>
    <row r="161">
      <c r="A161" s="6" t="n"/>
      <c r="B161" s="24" t="n"/>
      <c r="C161" s="6" t="n"/>
      <c r="D161" s="6" t="n"/>
      <c r="E161" s="6" t="n"/>
      <c r="F161" s="8" t="n"/>
      <c r="G161" s="8" t="n"/>
      <c r="H161" s="6" t="n"/>
    </row>
    <row r="162">
      <c r="A162" s="6" t="n"/>
      <c r="B162" s="24" t="n"/>
      <c r="C162" s="6" t="n"/>
      <c r="D162" s="6" t="n"/>
      <c r="E162" s="6" t="n"/>
      <c r="F162" s="8" t="n"/>
      <c r="G162" s="8" t="n"/>
      <c r="H162" s="6" t="n"/>
    </row>
    <row r="163">
      <c r="A163" s="6" t="n"/>
      <c r="B163" s="24" t="n"/>
      <c r="C163" s="6" t="n"/>
      <c r="D163" s="6" t="n"/>
      <c r="E163" s="6" t="n"/>
      <c r="F163" s="8" t="n"/>
      <c r="G163" s="8" t="n"/>
      <c r="H163" s="6" t="n"/>
    </row>
    <row r="164">
      <c r="A164" s="6" t="n"/>
      <c r="B164" s="24" t="n"/>
      <c r="C164" s="6" t="n"/>
      <c r="D164" s="6" t="n"/>
      <c r="E164" s="6" t="n"/>
      <c r="F164" s="8" t="n"/>
      <c r="G164" s="8" t="n"/>
      <c r="H164" s="6" t="n"/>
    </row>
    <row r="165">
      <c r="A165" s="6" t="n"/>
      <c r="B165" s="24" t="n"/>
      <c r="C165" s="6" t="n"/>
      <c r="D165" s="6" t="n"/>
      <c r="E165" s="6" t="n"/>
      <c r="F165" s="8" t="n"/>
      <c r="G165" s="8" t="n"/>
      <c r="H165" s="6" t="n"/>
    </row>
    <row r="166">
      <c r="A166" s="6" t="n"/>
      <c r="B166" s="24" t="n"/>
      <c r="C166" s="6" t="n"/>
      <c r="D166" s="6" t="n"/>
      <c r="E166" s="6" t="n"/>
      <c r="F166" s="8" t="n"/>
      <c r="G166" s="8" t="n"/>
      <c r="H166" s="6" t="n"/>
    </row>
    <row r="167">
      <c r="A167" s="6" t="n"/>
      <c r="B167" s="24" t="n"/>
      <c r="C167" s="6" t="n"/>
      <c r="D167" s="6" t="n"/>
      <c r="E167" s="6" t="n"/>
      <c r="F167" s="8" t="n"/>
      <c r="G167" s="8" t="n"/>
      <c r="H167" s="6" t="n"/>
    </row>
    <row r="168">
      <c r="A168" s="6" t="n"/>
      <c r="B168" s="24" t="n"/>
      <c r="C168" s="6" t="n"/>
      <c r="D168" s="6" t="n"/>
      <c r="E168" s="6" t="n"/>
      <c r="F168" s="8" t="n"/>
      <c r="G168" s="8" t="n"/>
      <c r="H168" s="6" t="n"/>
    </row>
    <row r="169">
      <c r="A169" s="6" t="n"/>
      <c r="B169" s="24" t="n"/>
      <c r="C169" s="6" t="n"/>
      <c r="D169" s="6" t="n"/>
      <c r="E169" s="6" t="n"/>
      <c r="F169" s="8" t="n"/>
      <c r="G169" s="8" t="n"/>
      <c r="H169" s="6" t="n"/>
    </row>
    <row r="170">
      <c r="A170" s="6" t="n"/>
      <c r="B170" s="24" t="n"/>
      <c r="C170" s="6" t="n"/>
      <c r="D170" s="6" t="n"/>
      <c r="E170" s="6" t="n"/>
      <c r="F170" s="8" t="n"/>
      <c r="G170" s="8" t="n"/>
      <c r="H170" s="6" t="n"/>
    </row>
    <row r="171">
      <c r="A171" s="6" t="n"/>
      <c r="B171" s="24" t="n"/>
      <c r="C171" s="6" t="n"/>
      <c r="D171" s="6" t="n"/>
      <c r="E171" s="6" t="n"/>
      <c r="F171" s="8" t="n"/>
      <c r="G171" s="8" t="n"/>
      <c r="H171" s="6" t="n"/>
    </row>
    <row r="172">
      <c r="A172" s="6" t="n"/>
      <c r="B172" s="24" t="n"/>
      <c r="C172" s="6" t="n"/>
      <c r="D172" s="6" t="n"/>
      <c r="E172" s="6" t="n"/>
      <c r="F172" s="8" t="n"/>
      <c r="G172" s="8" t="n"/>
      <c r="H172" s="6" t="n"/>
    </row>
    <row r="173">
      <c r="A173" s="6" t="n"/>
      <c r="B173" s="24" t="n"/>
      <c r="C173" s="6" t="n"/>
      <c r="D173" s="6" t="n"/>
      <c r="E173" s="6" t="n"/>
      <c r="F173" s="8" t="n"/>
      <c r="G173" s="8" t="n"/>
      <c r="H173" s="6" t="n"/>
    </row>
    <row r="174">
      <c r="A174" s="6" t="n"/>
      <c r="B174" s="24" t="n"/>
      <c r="C174" s="6" t="n"/>
      <c r="D174" s="6" t="n"/>
      <c r="E174" s="6" t="n"/>
      <c r="F174" s="8" t="n"/>
      <c r="G174" s="8" t="n"/>
      <c r="H174" s="6" t="n"/>
    </row>
    <row r="175">
      <c r="A175" s="6" t="n"/>
      <c r="B175" s="24" t="n"/>
      <c r="C175" s="6" t="n"/>
      <c r="D175" s="6" t="n"/>
      <c r="E175" s="6" t="n"/>
      <c r="F175" s="8" t="n"/>
      <c r="G175" s="8" t="n"/>
      <c r="H175" s="6" t="n"/>
    </row>
    <row r="176">
      <c r="A176" s="6" t="n"/>
      <c r="B176" s="24" t="n"/>
      <c r="C176" s="6" t="n"/>
      <c r="D176" s="6" t="n"/>
      <c r="E176" s="6" t="n"/>
      <c r="F176" s="8" t="n"/>
      <c r="G176" s="8" t="n"/>
      <c r="H176" s="6" t="n"/>
    </row>
    <row r="177">
      <c r="A177" s="6" t="n"/>
      <c r="B177" s="24" t="n"/>
      <c r="C177" s="6" t="n"/>
      <c r="D177" s="6" t="n"/>
      <c r="E177" s="6" t="n"/>
      <c r="F177" s="8" t="n"/>
      <c r="G177" s="8" t="n"/>
      <c r="H177" s="6" t="n"/>
    </row>
    <row r="178">
      <c r="A178" s="6" t="n"/>
      <c r="B178" s="24" t="n"/>
      <c r="C178" s="6" t="n"/>
      <c r="D178" s="6" t="n"/>
      <c r="E178" s="6" t="n"/>
      <c r="F178" s="8" t="n"/>
      <c r="G178" s="8" t="n"/>
      <c r="H178" s="6" t="n"/>
    </row>
    <row r="179">
      <c r="A179" s="6" t="n"/>
      <c r="B179" s="24" t="n"/>
      <c r="C179" s="6" t="n"/>
      <c r="D179" s="6" t="n"/>
      <c r="E179" s="6" t="n"/>
      <c r="F179" s="8" t="n"/>
      <c r="G179" s="8" t="n"/>
      <c r="H179" s="6" t="n"/>
    </row>
    <row r="180">
      <c r="A180" s="6" t="n"/>
      <c r="B180" s="24" t="n"/>
      <c r="C180" s="6" t="n"/>
      <c r="D180" s="6" t="n"/>
      <c r="E180" s="6" t="n"/>
      <c r="F180" s="8" t="n"/>
      <c r="G180" s="8" t="n"/>
      <c r="H180" s="6" t="n"/>
    </row>
    <row r="181">
      <c r="A181" s="6" t="n"/>
      <c r="B181" s="24" t="n"/>
      <c r="C181" s="6" t="n"/>
      <c r="D181" s="6" t="n"/>
      <c r="E181" s="6" t="n"/>
      <c r="F181" s="8" t="n"/>
      <c r="G181" s="8" t="n"/>
      <c r="H181" s="6" t="n"/>
    </row>
    <row r="182">
      <c r="A182" s="6" t="n"/>
      <c r="B182" s="24" t="n"/>
      <c r="C182" s="6" t="n"/>
      <c r="D182" s="6" t="n"/>
      <c r="E182" s="6" t="n"/>
      <c r="F182" s="8" t="n"/>
      <c r="G182" s="8" t="n"/>
      <c r="H182" s="6" t="n"/>
    </row>
    <row r="183">
      <c r="A183" s="6" t="n"/>
      <c r="B183" s="24" t="n"/>
      <c r="C183" s="6" t="n"/>
      <c r="D183" s="6" t="n"/>
      <c r="E183" s="6" t="n"/>
      <c r="F183" s="8" t="n"/>
      <c r="G183" s="8" t="n"/>
      <c r="H183" s="6" t="n"/>
    </row>
    <row r="184">
      <c r="A184" s="6" t="n"/>
      <c r="B184" s="24" t="n"/>
      <c r="C184" s="6" t="n"/>
      <c r="D184" s="6" t="n"/>
      <c r="E184" s="6" t="n"/>
      <c r="F184" s="8" t="n"/>
      <c r="G184" s="8" t="n"/>
      <c r="H184" s="6" t="n"/>
    </row>
    <row r="185">
      <c r="A185" s="6" t="n"/>
      <c r="B185" s="24" t="n"/>
      <c r="C185" s="6" t="n"/>
      <c r="D185" s="6" t="n"/>
      <c r="E185" s="6" t="n"/>
      <c r="F185" s="8" t="n"/>
      <c r="G185" s="8" t="n"/>
      <c r="H185" s="6" t="n"/>
    </row>
    <row r="186">
      <c r="A186" s="6" t="n"/>
      <c r="B186" s="24" t="n"/>
      <c r="C186" s="6" t="n"/>
      <c r="D186" s="6" t="n"/>
      <c r="E186" s="6" t="n"/>
      <c r="F186" s="8" t="n"/>
      <c r="G186" s="8" t="n"/>
      <c r="H186" s="6" t="n"/>
    </row>
    <row r="187">
      <c r="A187" s="6" t="n"/>
      <c r="B187" s="24" t="n"/>
      <c r="C187" s="6" t="n"/>
      <c r="D187" s="6" t="n"/>
      <c r="E187" s="6" t="n"/>
      <c r="F187" s="8" t="n"/>
      <c r="G187" s="8" t="n"/>
      <c r="H187" s="6" t="n"/>
    </row>
    <row r="188">
      <c r="A188" s="6" t="n"/>
      <c r="B188" s="24" t="n"/>
      <c r="C188" s="6" t="n"/>
      <c r="D188" s="6" t="n"/>
      <c r="E188" s="6" t="n"/>
      <c r="F188" s="8" t="n"/>
      <c r="G188" s="8" t="n"/>
      <c r="H188" s="6" t="n"/>
    </row>
    <row r="189">
      <c r="A189" s="6" t="n"/>
      <c r="B189" s="24" t="n"/>
      <c r="C189" s="6" t="n"/>
      <c r="D189" s="6" t="n"/>
      <c r="E189" s="6" t="n"/>
      <c r="F189" s="8" t="n"/>
      <c r="G189" s="8" t="n"/>
      <c r="H189" s="6" t="n"/>
    </row>
    <row r="190">
      <c r="A190" s="6" t="n"/>
      <c r="B190" s="24" t="n"/>
      <c r="C190" s="6" t="n"/>
      <c r="D190" s="6" t="n"/>
      <c r="E190" s="6" t="n"/>
      <c r="F190" s="8" t="n"/>
      <c r="G190" s="8" t="n"/>
      <c r="H190" s="6" t="n"/>
    </row>
    <row r="191">
      <c r="A191" s="6" t="n"/>
      <c r="B191" s="24" t="n"/>
      <c r="C191" s="6" t="n"/>
      <c r="D191" s="6" t="n"/>
      <c r="E191" s="6" t="n"/>
      <c r="F191" s="8" t="n"/>
      <c r="G191" s="8" t="n"/>
      <c r="H191" s="6" t="n"/>
    </row>
    <row r="192">
      <c r="A192" s="6" t="n"/>
      <c r="B192" s="24" t="n"/>
      <c r="C192" s="6" t="n"/>
      <c r="D192" s="6" t="n"/>
      <c r="E192" s="6" t="n"/>
      <c r="F192" s="8" t="n"/>
      <c r="G192" s="8" t="n"/>
      <c r="H192" s="6" t="n"/>
    </row>
    <row r="193">
      <c r="A193" s="6" t="n"/>
      <c r="B193" s="24" t="n"/>
      <c r="C193" s="6" t="n"/>
      <c r="D193" s="6" t="n"/>
      <c r="E193" s="6" t="n"/>
      <c r="F193" s="8" t="n"/>
      <c r="G193" s="8" t="n"/>
      <c r="H193" s="6" t="n"/>
    </row>
    <row r="194">
      <c r="A194" s="6" t="n"/>
      <c r="B194" s="24" t="n"/>
      <c r="C194" s="6" t="n"/>
      <c r="D194" s="6" t="n"/>
      <c r="E194" s="6" t="n"/>
      <c r="F194" s="8" t="n"/>
      <c r="G194" s="8" t="n"/>
      <c r="H194" s="6" t="n"/>
    </row>
    <row r="195">
      <c r="A195" s="6" t="n"/>
      <c r="B195" s="24" t="n"/>
      <c r="C195" s="6" t="n"/>
      <c r="D195" s="6" t="n"/>
      <c r="E195" s="6" t="n"/>
      <c r="F195" s="8" t="n"/>
      <c r="G195" s="8" t="n"/>
      <c r="H195" s="6" t="n"/>
    </row>
    <row r="196">
      <c r="A196" s="6" t="n"/>
      <c r="B196" s="24" t="n"/>
      <c r="C196" s="6" t="n"/>
      <c r="D196" s="6" t="n"/>
      <c r="E196" s="6" t="n"/>
      <c r="F196" s="8" t="n"/>
      <c r="G196" s="8" t="n"/>
      <c r="H196" s="6" t="n"/>
    </row>
    <row r="197">
      <c r="A197" s="6" t="n"/>
      <c r="B197" s="24" t="n"/>
      <c r="C197" s="6" t="n"/>
      <c r="D197" s="6" t="n"/>
      <c r="E197" s="6" t="n"/>
      <c r="F197" s="8" t="n"/>
      <c r="G197" s="8" t="n"/>
      <c r="H197" s="6" t="n"/>
    </row>
    <row r="198">
      <c r="A198" s="6" t="n"/>
      <c r="B198" s="24" t="n"/>
      <c r="C198" s="6" t="n"/>
      <c r="D198" s="6" t="n"/>
      <c r="E198" s="6" t="n"/>
      <c r="F198" s="8" t="n"/>
      <c r="G198" s="8" t="n"/>
      <c r="H198" s="6" t="n"/>
    </row>
    <row r="199">
      <c r="A199" s="6" t="n"/>
      <c r="B199" s="24" t="n"/>
      <c r="C199" s="6" t="n"/>
      <c r="D199" s="6" t="n"/>
      <c r="E199" s="6" t="n"/>
      <c r="F199" s="8" t="n"/>
      <c r="G199" s="8" t="n"/>
      <c r="H199" s="6" t="n"/>
    </row>
    <row r="200">
      <c r="A200" s="6" t="n"/>
      <c r="B200" s="24" t="n"/>
      <c r="C200" s="6" t="n"/>
      <c r="D200" s="6" t="n"/>
      <c r="E200" s="6" t="n"/>
      <c r="F200" s="8" t="n"/>
      <c r="G200" s="8" t="n"/>
      <c r="H200" s="6" t="n"/>
    </row>
    <row r="201">
      <c r="A201" s="6" t="n"/>
      <c r="B201" s="24" t="n"/>
      <c r="C201" s="6" t="n"/>
      <c r="D201" s="6" t="n"/>
      <c r="E201" s="6" t="n"/>
      <c r="F201" s="8" t="n"/>
      <c r="G201" s="8" t="n"/>
      <c r="H201" s="6" t="n"/>
    </row>
    <row r="202">
      <c r="A202" s="6" t="n"/>
      <c r="B202" s="24" t="n"/>
      <c r="C202" s="6" t="n"/>
      <c r="D202" s="6" t="n"/>
      <c r="E202" s="6" t="n"/>
      <c r="F202" s="8" t="n"/>
      <c r="G202" s="8" t="n"/>
      <c r="H202" s="6" t="n"/>
    </row>
    <row r="203">
      <c r="A203" s="6" t="n"/>
      <c r="B203" s="24" t="n"/>
      <c r="C203" s="6" t="n"/>
      <c r="D203" s="6" t="n"/>
      <c r="E203" s="6" t="n"/>
      <c r="F203" s="8" t="n"/>
      <c r="G203" s="8" t="n"/>
      <c r="H203" s="6" t="n"/>
    </row>
    <row r="204">
      <c r="A204" s="6" t="n"/>
      <c r="B204" s="24" t="n"/>
      <c r="C204" s="6" t="n"/>
      <c r="D204" s="6" t="n"/>
      <c r="E204" s="6" t="n"/>
      <c r="F204" s="8" t="n"/>
      <c r="G204" s="8" t="n"/>
      <c r="H204" s="6" t="n"/>
    </row>
    <row r="205">
      <c r="A205" s="6" t="n"/>
      <c r="B205" s="24" t="n"/>
      <c r="C205" s="6" t="n"/>
      <c r="D205" s="6" t="n"/>
      <c r="E205" s="6" t="n"/>
      <c r="F205" s="8" t="n"/>
      <c r="G205" s="8" t="n"/>
      <c r="H205" s="6" t="n"/>
    </row>
    <row r="206">
      <c r="A206" s="6" t="n"/>
      <c r="B206" s="24" t="n"/>
      <c r="C206" s="6" t="n"/>
      <c r="D206" s="6" t="n"/>
      <c r="E206" s="6" t="n"/>
      <c r="F206" s="8" t="n"/>
      <c r="G206" s="8" t="n"/>
      <c r="H206" s="6" t="n"/>
    </row>
    <row r="207">
      <c r="A207" s="6" t="n"/>
      <c r="B207" s="24" t="n"/>
      <c r="C207" s="6" t="n"/>
      <c r="D207" s="6" t="n"/>
      <c r="E207" s="6" t="n"/>
      <c r="F207" s="8" t="n"/>
      <c r="G207" s="8" t="n"/>
      <c r="H207" s="6" t="n"/>
    </row>
    <row r="208">
      <c r="A208" s="6" t="n"/>
      <c r="B208" s="24" t="n"/>
      <c r="C208" s="6" t="n"/>
      <c r="D208" s="6" t="n"/>
      <c r="E208" s="6" t="n"/>
      <c r="F208" s="8" t="n"/>
      <c r="G208" s="8" t="n"/>
      <c r="H208" s="6" t="n"/>
    </row>
    <row r="209">
      <c r="A209" s="6" t="n"/>
      <c r="B209" s="24" t="n"/>
      <c r="C209" s="6" t="n"/>
      <c r="D209" s="6" t="n"/>
      <c r="E209" s="6" t="n"/>
      <c r="F209" s="8" t="n"/>
      <c r="G209" s="8" t="n"/>
      <c r="H209" s="6" t="n"/>
    </row>
    <row r="210">
      <c r="A210" s="6" t="n"/>
      <c r="B210" s="24" t="n"/>
      <c r="C210" s="6" t="n"/>
      <c r="D210" s="6" t="n"/>
      <c r="E210" s="6" t="n"/>
      <c r="F210" s="8" t="n"/>
      <c r="G210" s="8" t="n"/>
      <c r="H210" s="6" t="n"/>
    </row>
    <row r="211">
      <c r="A211" s="6" t="n"/>
      <c r="B211" s="24" t="n"/>
      <c r="C211" s="6" t="n"/>
      <c r="D211" s="6" t="n"/>
      <c r="E211" s="6" t="n"/>
      <c r="F211" s="8" t="n"/>
      <c r="G211" s="8" t="n"/>
      <c r="H211" s="6" t="n"/>
    </row>
    <row r="212">
      <c r="A212" s="6" t="n"/>
      <c r="B212" s="24" t="n"/>
      <c r="C212" s="6" t="n"/>
      <c r="D212" s="6" t="n"/>
      <c r="E212" s="6" t="n"/>
      <c r="F212" s="8" t="n"/>
      <c r="G212" s="8" t="n"/>
      <c r="H212" s="6" t="n"/>
    </row>
    <row r="213">
      <c r="A213" s="6" t="n"/>
      <c r="B213" s="24" t="n"/>
      <c r="C213" s="6" t="n"/>
      <c r="D213" s="6" t="n"/>
      <c r="E213" s="6" t="n"/>
      <c r="F213" s="8" t="n"/>
      <c r="G213" s="8" t="n"/>
      <c r="H213" s="6" t="n"/>
    </row>
    <row r="214">
      <c r="A214" s="6" t="n"/>
      <c r="B214" s="24" t="n"/>
      <c r="C214" s="6" t="n"/>
      <c r="D214" s="6" t="n"/>
      <c r="E214" s="6" t="n"/>
      <c r="F214" s="8" t="n"/>
      <c r="G214" s="8" t="n"/>
      <c r="H214" s="6" t="n"/>
    </row>
    <row r="215">
      <c r="A215" s="6" t="n"/>
      <c r="B215" s="24" t="n"/>
      <c r="C215" s="6" t="n"/>
      <c r="D215" s="6" t="n"/>
      <c r="E215" s="6" t="n"/>
      <c r="F215" s="8" t="n"/>
      <c r="G215" s="8" t="n"/>
      <c r="H215" s="6" t="n"/>
    </row>
    <row r="216">
      <c r="A216" s="6" t="n"/>
      <c r="B216" s="24" t="n"/>
      <c r="C216" s="6" t="n"/>
      <c r="D216" s="6" t="n"/>
      <c r="E216" s="6" t="n"/>
      <c r="F216" s="8" t="n"/>
      <c r="G216" s="8" t="n"/>
      <c r="H216" s="6" t="n"/>
    </row>
    <row r="217">
      <c r="A217" s="6" t="n"/>
      <c r="B217" s="24" t="n"/>
      <c r="C217" s="6" t="n"/>
      <c r="D217" s="6" t="n"/>
      <c r="E217" s="6" t="n"/>
      <c r="F217" s="8" t="n"/>
      <c r="G217" s="8" t="n"/>
      <c r="H217" s="6" t="n"/>
    </row>
    <row r="218">
      <c r="A218" s="6" t="n"/>
      <c r="B218" s="24" t="n"/>
      <c r="C218" s="6" t="n"/>
      <c r="D218" s="6" t="n"/>
      <c r="E218" s="6" t="n"/>
      <c r="F218" s="8" t="n"/>
      <c r="G218" s="8" t="n"/>
      <c r="H218" s="6" t="n"/>
    </row>
    <row r="219">
      <c r="A219" s="6" t="n"/>
      <c r="B219" s="24" t="n"/>
      <c r="C219" s="6" t="n"/>
      <c r="D219" s="6" t="n"/>
      <c r="E219" s="6" t="n"/>
      <c r="F219" s="8" t="n"/>
      <c r="G219" s="8" t="n"/>
      <c r="H219" s="6" t="n"/>
    </row>
    <row r="220">
      <c r="A220" s="6" t="n"/>
      <c r="B220" s="24" t="n"/>
      <c r="C220" s="6" t="n"/>
      <c r="D220" s="6" t="n"/>
      <c r="E220" s="6" t="n"/>
      <c r="F220" s="8" t="n"/>
      <c r="G220" s="8" t="n"/>
      <c r="H220" s="6" t="n"/>
    </row>
    <row r="221">
      <c r="A221" s="6" t="n"/>
      <c r="B221" s="24" t="n"/>
      <c r="C221" s="6" t="n"/>
      <c r="D221" s="6" t="n"/>
      <c r="E221" s="6" t="n"/>
      <c r="F221" s="8" t="n"/>
      <c r="G221" s="8" t="n"/>
      <c r="H221" s="6" t="n"/>
    </row>
    <row r="222">
      <c r="A222" s="6" t="n"/>
      <c r="B222" s="24" t="n"/>
      <c r="C222" s="6" t="n"/>
      <c r="D222" s="6" t="n"/>
      <c r="E222" s="6" t="n"/>
      <c r="F222" s="8" t="n"/>
      <c r="G222" s="8" t="n"/>
      <c r="H222" s="6" t="n"/>
    </row>
    <row r="223">
      <c r="A223" s="6" t="n"/>
      <c r="B223" s="24" t="n"/>
      <c r="C223" s="6" t="n"/>
      <c r="D223" s="6" t="n"/>
      <c r="E223" s="6" t="n"/>
      <c r="F223" s="8" t="n"/>
      <c r="G223" s="8" t="n"/>
      <c r="H223" s="6" t="n"/>
    </row>
    <row r="224">
      <c r="A224" s="6" t="n"/>
      <c r="B224" s="24" t="n"/>
      <c r="C224" s="6" t="n"/>
      <c r="D224" s="6" t="n"/>
      <c r="E224" s="6" t="n"/>
      <c r="F224" s="8" t="n"/>
      <c r="G224" s="8" t="n"/>
      <c r="H224" s="6" t="n"/>
    </row>
    <row r="225">
      <c r="A225" s="6" t="n"/>
      <c r="B225" s="24" t="n"/>
      <c r="C225" s="6" t="n"/>
      <c r="D225" s="6" t="n"/>
      <c r="E225" s="6" t="n"/>
      <c r="F225" s="8" t="n"/>
      <c r="G225" s="8" t="n"/>
      <c r="H225" s="6" t="n"/>
    </row>
    <row r="226">
      <c r="A226" s="6" t="n"/>
      <c r="B226" s="24" t="n"/>
      <c r="C226" s="6" t="n"/>
      <c r="D226" s="6" t="n"/>
      <c r="E226" s="6" t="n"/>
      <c r="F226" s="8" t="n"/>
      <c r="G226" s="8" t="n"/>
      <c r="H226" s="6" t="n"/>
    </row>
    <row r="227">
      <c r="A227" s="6" t="n"/>
      <c r="B227" s="24" t="n"/>
      <c r="C227" s="6" t="n"/>
      <c r="D227" s="6" t="n"/>
      <c r="E227" s="6" t="n"/>
      <c r="F227" s="8" t="n"/>
      <c r="G227" s="8" t="n"/>
      <c r="H227" s="6" t="n"/>
    </row>
    <row r="228">
      <c r="A228" s="6" t="n"/>
      <c r="B228" s="24" t="n"/>
      <c r="C228" s="6" t="n"/>
      <c r="D228" s="6" t="n"/>
      <c r="E228" s="6" t="n"/>
      <c r="F228" s="8" t="n"/>
      <c r="G228" s="8" t="n"/>
      <c r="H228" s="6" t="n"/>
    </row>
    <row r="229">
      <c r="A229" s="6" t="n"/>
      <c r="B229" s="24" t="n"/>
      <c r="C229" s="6" t="n"/>
      <c r="D229" s="6" t="n"/>
      <c r="E229" s="6" t="n"/>
      <c r="F229" s="8" t="n"/>
      <c r="G229" s="8" t="n"/>
      <c r="H229" s="6" t="n"/>
    </row>
    <row r="230">
      <c r="A230" s="6" t="n"/>
      <c r="B230" s="24" t="n"/>
      <c r="C230" s="6" t="n"/>
      <c r="D230" s="6" t="n"/>
      <c r="E230" s="6" t="n"/>
      <c r="F230" s="8" t="n"/>
      <c r="G230" s="8" t="n"/>
      <c r="H230" s="6" t="n"/>
    </row>
    <row r="231">
      <c r="A231" s="6" t="n"/>
      <c r="B231" s="24" t="n"/>
      <c r="C231" s="6" t="n"/>
      <c r="D231" s="6" t="n"/>
      <c r="E231" s="6" t="n"/>
      <c r="F231" s="8" t="n"/>
      <c r="G231" s="8" t="n"/>
      <c r="H231" s="6" t="n"/>
    </row>
    <row r="232">
      <c r="A232" s="6" t="n"/>
      <c r="B232" s="24" t="n"/>
      <c r="C232" s="6" t="n"/>
      <c r="D232" s="6" t="n"/>
      <c r="E232" s="6" t="n"/>
      <c r="F232" s="8" t="n"/>
      <c r="G232" s="8" t="n"/>
      <c r="H232" s="6" t="n"/>
    </row>
    <row r="233">
      <c r="A233" s="6" t="n"/>
      <c r="B233" s="24" t="n"/>
      <c r="C233" s="6" t="n"/>
      <c r="D233" s="6" t="n"/>
      <c r="E233" s="6" t="n"/>
      <c r="F233" s="8" t="n"/>
      <c r="G233" s="8" t="n"/>
      <c r="H233" s="6" t="n"/>
    </row>
    <row r="234">
      <c r="A234" s="6" t="n"/>
      <c r="B234" s="24" t="n"/>
      <c r="C234" s="6" t="n"/>
      <c r="D234" s="6" t="n"/>
      <c r="E234" s="6" t="n"/>
      <c r="F234" s="8" t="n"/>
      <c r="G234" s="8" t="n"/>
      <c r="H234" s="6" t="n"/>
    </row>
    <row r="235">
      <c r="A235" s="6" t="n"/>
      <c r="B235" s="24" t="n"/>
      <c r="C235" s="6" t="n"/>
      <c r="D235" s="6" t="n"/>
      <c r="E235" s="6" t="n"/>
      <c r="F235" s="8" t="n"/>
      <c r="G235" s="8" t="n"/>
      <c r="H235" s="6" t="n"/>
    </row>
    <row r="236">
      <c r="A236" s="6" t="n"/>
      <c r="B236" s="24" t="n"/>
      <c r="C236" s="6" t="n"/>
      <c r="D236" s="6" t="n"/>
      <c r="E236" s="6" t="n"/>
      <c r="F236" s="8" t="n"/>
      <c r="G236" s="8" t="n"/>
      <c r="H236" s="6" t="n"/>
    </row>
    <row r="237">
      <c r="A237" s="6" t="n"/>
      <c r="B237" s="24" t="n"/>
      <c r="C237" s="6" t="n"/>
      <c r="D237" s="6" t="n"/>
      <c r="E237" s="6" t="n"/>
      <c r="F237" s="8" t="n"/>
      <c r="G237" s="8" t="n"/>
      <c r="H237" s="6" t="n"/>
    </row>
    <row r="238">
      <c r="A238" s="6" t="n"/>
      <c r="B238" s="24" t="n"/>
      <c r="C238" s="6" t="n"/>
      <c r="D238" s="6" t="n"/>
      <c r="E238" s="6" t="n"/>
      <c r="F238" s="8" t="n"/>
      <c r="G238" s="8" t="n"/>
      <c r="H238" s="6" t="n"/>
    </row>
    <row r="239">
      <c r="A239" s="6" t="n"/>
      <c r="B239" s="24" t="n"/>
      <c r="C239" s="6" t="n"/>
      <c r="D239" s="6" t="n"/>
      <c r="E239" s="6" t="n"/>
      <c r="F239" s="8" t="n"/>
      <c r="G239" s="8" t="n"/>
      <c r="H239" s="6" t="n"/>
    </row>
    <row r="240">
      <c r="A240" s="6" t="n"/>
      <c r="B240" s="24" t="n"/>
      <c r="C240" s="6" t="n"/>
      <c r="D240" s="6" t="n"/>
      <c r="E240" s="6" t="n"/>
      <c r="F240" s="8" t="n"/>
      <c r="G240" s="8" t="n"/>
      <c r="H240" s="6" t="n"/>
    </row>
    <row r="241">
      <c r="A241" s="6" t="n"/>
      <c r="B241" s="24" t="n"/>
      <c r="C241" s="6" t="n"/>
      <c r="D241" s="6" t="n"/>
      <c r="E241" s="6" t="n"/>
      <c r="F241" s="8" t="n"/>
      <c r="G241" s="8" t="n"/>
      <c r="H241" s="6" t="n"/>
    </row>
    <row r="242">
      <c r="A242" s="6" t="n"/>
      <c r="B242" s="24" t="n"/>
      <c r="C242" s="6" t="n"/>
      <c r="D242" s="6" t="n"/>
      <c r="E242" s="6" t="n"/>
      <c r="F242" s="8" t="n"/>
      <c r="G242" s="8" t="n"/>
      <c r="H242" s="6" t="n"/>
    </row>
    <row r="243">
      <c r="A243" s="6" t="n"/>
      <c r="B243" s="24" t="n"/>
      <c r="C243" s="6" t="n"/>
      <c r="D243" s="6" t="n"/>
      <c r="E243" s="6" t="n"/>
      <c r="F243" s="8" t="n"/>
      <c r="G243" s="8" t="n"/>
      <c r="H243" s="6" t="n"/>
    </row>
    <row r="244">
      <c r="A244" s="6" t="n"/>
      <c r="B244" s="24" t="n"/>
      <c r="C244" s="6" t="n"/>
      <c r="D244" s="6" t="n"/>
      <c r="E244" s="6" t="n"/>
      <c r="F244" s="8" t="n"/>
      <c r="G244" s="8" t="n"/>
      <c r="H244" s="6" t="n"/>
    </row>
    <row r="245">
      <c r="A245" s="6" t="n"/>
      <c r="B245" s="24" t="n"/>
      <c r="C245" s="6" t="n"/>
      <c r="D245" s="6" t="n"/>
      <c r="E245" s="6" t="n"/>
      <c r="F245" s="8" t="n"/>
      <c r="G245" s="8" t="n"/>
      <c r="H245" s="6" t="n"/>
    </row>
    <row r="246">
      <c r="A246" s="6" t="n"/>
      <c r="B246" s="24" t="n"/>
      <c r="C246" s="6" t="n"/>
      <c r="D246" s="6" t="n"/>
      <c r="E246" s="6" t="n"/>
      <c r="F246" s="8" t="n"/>
      <c r="G246" s="8" t="n"/>
      <c r="H246" s="6" t="n"/>
    </row>
    <row r="247">
      <c r="A247" s="6" t="n"/>
      <c r="B247" s="24" t="n"/>
      <c r="C247" s="6" t="n"/>
      <c r="D247" s="6" t="n"/>
      <c r="E247" s="6" t="n"/>
      <c r="F247" s="8" t="n"/>
      <c r="G247" s="8" t="n"/>
      <c r="H247" s="6" t="n"/>
    </row>
    <row r="248">
      <c r="A248" s="6" t="n"/>
      <c r="B248" s="24" t="n"/>
      <c r="C248" s="6" t="n"/>
      <c r="D248" s="6" t="n"/>
      <c r="E248" s="6" t="n"/>
      <c r="F248" s="8" t="n"/>
      <c r="G248" s="8" t="n"/>
      <c r="H248" s="6" t="n"/>
    </row>
    <row r="249">
      <c r="A249" s="6" t="n"/>
      <c r="B249" s="24" t="n"/>
      <c r="C249" s="6" t="n"/>
      <c r="D249" s="6" t="n"/>
      <c r="E249" s="6" t="n"/>
      <c r="F249" s="8" t="n"/>
      <c r="G249" s="8" t="n"/>
      <c r="H249" s="6" t="n"/>
    </row>
    <row r="250">
      <c r="A250" s="6" t="n"/>
      <c r="B250" s="24" t="n"/>
      <c r="C250" s="6" t="n"/>
      <c r="D250" s="6" t="n"/>
      <c r="E250" s="6" t="n"/>
      <c r="F250" s="8" t="n"/>
      <c r="G250" s="8" t="n"/>
      <c r="H250" s="6" t="n"/>
    </row>
    <row r="251">
      <c r="A251" s="6" t="n"/>
      <c r="B251" s="24" t="n"/>
      <c r="C251" s="6" t="n"/>
      <c r="D251" s="6" t="n"/>
      <c r="E251" s="6" t="n"/>
      <c r="F251" s="8" t="n"/>
      <c r="G251" s="8" t="n"/>
      <c r="H251" s="6" t="n"/>
    </row>
    <row r="252">
      <c r="A252" s="6" t="n"/>
      <c r="B252" s="24" t="n"/>
      <c r="C252" s="6" t="n"/>
      <c r="D252" s="6" t="n"/>
      <c r="E252" s="6" t="n"/>
      <c r="F252" s="8" t="n"/>
      <c r="G252" s="8" t="n"/>
      <c r="H252" s="6" t="n"/>
    </row>
    <row r="253">
      <c r="A253" s="6" t="n"/>
      <c r="B253" s="24" t="n"/>
      <c r="C253" s="6" t="n"/>
      <c r="D253" s="6" t="n"/>
      <c r="E253" s="6" t="n"/>
      <c r="F253" s="8" t="n"/>
      <c r="G253" s="8" t="n"/>
      <c r="H253" s="6" t="n"/>
    </row>
    <row r="254">
      <c r="A254" s="6" t="n"/>
      <c r="B254" s="24" t="n"/>
      <c r="C254" s="6" t="n"/>
      <c r="D254" s="6" t="n"/>
      <c r="E254" s="6" t="n"/>
      <c r="F254" s="8" t="n"/>
      <c r="G254" s="8" t="n"/>
      <c r="H254" s="6" t="n"/>
    </row>
    <row r="255">
      <c r="A255" s="6" t="n"/>
      <c r="B255" s="24" t="n"/>
      <c r="C255" s="6" t="n"/>
      <c r="D255" s="6" t="n"/>
      <c r="E255" s="6" t="n"/>
      <c r="F255" s="8" t="n"/>
      <c r="G255" s="8" t="n"/>
      <c r="H255" s="6" t="n"/>
    </row>
    <row r="256">
      <c r="A256" s="6" t="n"/>
      <c r="B256" s="24" t="n"/>
      <c r="C256" s="6" t="n"/>
      <c r="D256" s="6" t="n"/>
      <c r="E256" s="6" t="n"/>
      <c r="F256" s="8" t="n"/>
      <c r="G256" s="8" t="n"/>
      <c r="H256" s="6" t="n"/>
    </row>
    <row r="257">
      <c r="A257" s="6" t="n"/>
      <c r="B257" s="24" t="n"/>
      <c r="C257" s="6" t="n"/>
      <c r="D257" s="6" t="n"/>
      <c r="E257" s="6" t="n"/>
      <c r="F257" s="8" t="n"/>
      <c r="G257" s="8" t="n"/>
      <c r="H257" s="6" t="n"/>
    </row>
    <row r="258">
      <c r="A258" s="6" t="n"/>
      <c r="B258" s="24" t="n"/>
      <c r="C258" s="6" t="n"/>
      <c r="D258" s="6" t="n"/>
      <c r="E258" s="6" t="n"/>
      <c r="F258" s="8" t="n"/>
      <c r="G258" s="8" t="n"/>
      <c r="H258" s="6" t="n"/>
    </row>
    <row r="259">
      <c r="A259" s="6" t="n"/>
      <c r="B259" s="24" t="n"/>
      <c r="C259" s="6" t="n"/>
      <c r="D259" s="6" t="n"/>
      <c r="E259" s="6" t="n"/>
      <c r="F259" s="8" t="n"/>
      <c r="G259" s="8" t="n"/>
      <c r="H259" s="6" t="n"/>
    </row>
    <row r="260">
      <c r="A260" s="6" t="n"/>
      <c r="B260" s="24" t="n"/>
      <c r="C260" s="6" t="n"/>
      <c r="D260" s="6" t="n"/>
      <c r="E260" s="6" t="n"/>
      <c r="F260" s="8" t="n"/>
      <c r="G260" s="8" t="n"/>
      <c r="H260" s="6" t="n"/>
    </row>
    <row r="261">
      <c r="A261" s="6" t="n"/>
      <c r="B261" s="24" t="n"/>
      <c r="C261" s="6" t="n"/>
      <c r="D261" s="6" t="n"/>
      <c r="E261" s="6" t="n"/>
      <c r="F261" s="8" t="n"/>
      <c r="G261" s="8" t="n"/>
      <c r="H261" s="6" t="n"/>
    </row>
    <row r="262">
      <c r="A262" s="6" t="n"/>
      <c r="B262" s="24" t="n"/>
      <c r="C262" s="6" t="n"/>
      <c r="D262" s="6" t="n"/>
      <c r="E262" s="6" t="n"/>
      <c r="F262" s="8" t="n"/>
      <c r="G262" s="8" t="n"/>
      <c r="H262" s="6" t="n"/>
    </row>
    <row r="263">
      <c r="A263" s="6" t="n"/>
      <c r="B263" s="24" t="n"/>
      <c r="C263" s="6" t="n"/>
      <c r="D263" s="6" t="n"/>
      <c r="E263" s="6" t="n"/>
      <c r="F263" s="8" t="n"/>
      <c r="G263" s="8" t="n"/>
      <c r="H263" s="6" t="n"/>
    </row>
    <row r="264">
      <c r="A264" s="6" t="n"/>
      <c r="B264" s="24" t="n"/>
      <c r="C264" s="6" t="n"/>
      <c r="D264" s="6" t="n"/>
      <c r="E264" s="6" t="n"/>
      <c r="F264" s="8" t="n"/>
      <c r="G264" s="8" t="n"/>
      <c r="H264" s="6" t="n"/>
    </row>
    <row r="265">
      <c r="A265" s="6" t="n"/>
      <c r="B265" s="24" t="n"/>
      <c r="C265" s="6" t="n"/>
      <c r="D265" s="6" t="n"/>
      <c r="E265" s="6" t="n"/>
      <c r="F265" s="8" t="n"/>
      <c r="G265" s="8" t="n"/>
      <c r="H265" s="6" t="n"/>
    </row>
    <row r="266">
      <c r="A266" s="6" t="n"/>
      <c r="B266" s="24" t="n"/>
      <c r="C266" s="6" t="n"/>
      <c r="D266" s="6" t="n"/>
      <c r="E266" s="6" t="n"/>
      <c r="F266" s="8" t="n"/>
      <c r="G266" s="8" t="n"/>
      <c r="H266" s="6" t="n"/>
    </row>
    <row r="267">
      <c r="A267" s="6" t="n"/>
      <c r="B267" s="24" t="n"/>
      <c r="C267" s="6" t="n"/>
      <c r="D267" s="6" t="n"/>
      <c r="E267" s="6" t="n"/>
      <c r="F267" s="8" t="n"/>
      <c r="G267" s="8" t="n"/>
      <c r="H267" s="6" t="n"/>
    </row>
    <row r="268">
      <c r="A268" s="6" t="n"/>
      <c r="B268" s="24" t="n"/>
      <c r="C268" s="6" t="n"/>
      <c r="D268" s="6" t="n"/>
      <c r="E268" s="6" t="n"/>
      <c r="F268" s="8" t="n"/>
      <c r="G268" s="8" t="n"/>
      <c r="H268" s="6" t="n"/>
    </row>
    <row r="269">
      <c r="A269" s="6" t="n"/>
      <c r="B269" s="24" t="n"/>
      <c r="C269" s="6" t="n"/>
      <c r="D269" s="6" t="n"/>
      <c r="E269" s="6" t="n"/>
      <c r="F269" s="8" t="n"/>
      <c r="G269" s="8" t="n"/>
      <c r="H269" s="6" t="n"/>
    </row>
    <row r="270">
      <c r="A270" s="6" t="n"/>
      <c r="B270" s="24" t="n"/>
      <c r="C270" s="6" t="n"/>
      <c r="D270" s="6" t="n"/>
      <c r="E270" s="6" t="n"/>
      <c r="F270" s="8" t="n"/>
      <c r="G270" s="8" t="n"/>
      <c r="H270" s="6" t="n"/>
    </row>
    <row r="271">
      <c r="A271" s="6" t="n"/>
      <c r="B271" s="24" t="n"/>
      <c r="C271" s="6" t="n"/>
      <c r="D271" s="6" t="n"/>
      <c r="E271" s="6" t="n"/>
      <c r="F271" s="8" t="n"/>
      <c r="G271" s="8" t="n"/>
      <c r="H271" s="6" t="n"/>
    </row>
    <row r="272">
      <c r="A272" s="6" t="n"/>
      <c r="B272" s="24" t="n"/>
      <c r="C272" s="6" t="n"/>
      <c r="D272" s="6" t="n"/>
      <c r="E272" s="6" t="n"/>
      <c r="F272" s="8" t="n"/>
      <c r="G272" s="8" t="n"/>
      <c r="H272" s="6" t="n"/>
    </row>
    <row r="273">
      <c r="A273" s="6" t="n"/>
      <c r="B273" s="24" t="n"/>
      <c r="C273" s="6" t="n"/>
      <c r="D273" s="6" t="n"/>
      <c r="E273" s="6" t="n"/>
      <c r="F273" s="8" t="n"/>
      <c r="G273" s="8" t="n"/>
      <c r="H273" s="6" t="n"/>
    </row>
    <row r="274">
      <c r="A274" s="6" t="n"/>
      <c r="B274" s="24" t="n"/>
      <c r="C274" s="6" t="n"/>
      <c r="D274" s="6" t="n"/>
      <c r="E274" s="6" t="n"/>
      <c r="F274" s="8" t="n"/>
      <c r="G274" s="8" t="n"/>
      <c r="H274" s="6" t="n"/>
    </row>
    <row r="275">
      <c r="A275" s="6" t="n"/>
      <c r="B275" s="24" t="n"/>
      <c r="C275" s="6" t="n"/>
      <c r="D275" s="6" t="n"/>
      <c r="E275" s="6" t="n"/>
      <c r="F275" s="8" t="n"/>
      <c r="G275" s="8" t="n"/>
      <c r="H275" s="6" t="n"/>
    </row>
    <row r="276">
      <c r="A276" s="6" t="n"/>
      <c r="B276" s="24" t="n"/>
      <c r="C276" s="6" t="n"/>
      <c r="D276" s="6" t="n"/>
      <c r="E276" s="6" t="n"/>
      <c r="F276" s="8" t="n"/>
      <c r="G276" s="8" t="n"/>
      <c r="H276" s="6" t="n"/>
    </row>
    <row r="277">
      <c r="A277" s="6" t="n"/>
      <c r="B277" s="24" t="n"/>
      <c r="C277" s="6" t="n"/>
      <c r="D277" s="6" t="n"/>
      <c r="E277" s="6" t="n"/>
      <c r="F277" s="8" t="n"/>
      <c r="G277" s="8" t="n"/>
      <c r="H277" s="6" t="n"/>
    </row>
    <row r="278">
      <c r="A278" s="6" t="n"/>
      <c r="B278" s="24" t="n"/>
      <c r="C278" s="6" t="n"/>
      <c r="D278" s="6" t="n"/>
      <c r="E278" s="6" t="n"/>
      <c r="F278" s="8" t="n"/>
      <c r="G278" s="8" t="n"/>
      <c r="H278" s="6" t="n"/>
    </row>
    <row r="279">
      <c r="A279" s="6" t="n"/>
      <c r="B279" s="24" t="n"/>
      <c r="C279" s="6" t="n"/>
      <c r="D279" s="6" t="n"/>
      <c r="E279" s="6" t="n"/>
      <c r="F279" s="8" t="n"/>
      <c r="G279" s="8" t="n"/>
      <c r="H279" s="6" t="n"/>
    </row>
    <row r="280">
      <c r="A280" s="6" t="n"/>
      <c r="B280" s="24" t="n"/>
      <c r="C280" s="6" t="n"/>
      <c r="D280" s="6" t="n"/>
      <c r="E280" s="6" t="n"/>
      <c r="F280" s="8" t="n"/>
      <c r="G280" s="8" t="n"/>
      <c r="H280" s="6" t="n"/>
    </row>
    <row r="281">
      <c r="A281" s="6" t="n"/>
      <c r="B281" s="24" t="n"/>
      <c r="C281" s="6" t="n"/>
      <c r="D281" s="6" t="n"/>
      <c r="E281" s="6" t="n"/>
      <c r="F281" s="8" t="n"/>
      <c r="G281" s="8" t="n"/>
      <c r="H281" s="6" t="n"/>
    </row>
    <row r="282">
      <c r="A282" s="6" t="n"/>
      <c r="B282" s="24" t="n"/>
      <c r="C282" s="6" t="n"/>
      <c r="D282" s="6" t="n"/>
      <c r="E282" s="6" t="n"/>
      <c r="F282" s="8" t="n"/>
      <c r="G282" s="8" t="n"/>
      <c r="H282" s="6" t="n"/>
    </row>
    <row r="283">
      <c r="A283" s="6" t="n"/>
      <c r="B283" s="24" t="n"/>
      <c r="C283" s="6" t="n"/>
      <c r="D283" s="6" t="n"/>
      <c r="E283" s="6" t="n"/>
      <c r="F283" s="8" t="n"/>
      <c r="G283" s="8" t="n"/>
      <c r="H283" s="6" t="n"/>
    </row>
    <row r="284">
      <c r="A284" s="6" t="n"/>
      <c r="B284" s="24" t="n"/>
      <c r="C284" s="6" t="n"/>
      <c r="D284" s="6" t="n"/>
      <c r="E284" s="6" t="n"/>
      <c r="F284" s="8" t="n"/>
      <c r="G284" s="8" t="n"/>
      <c r="H284" s="6" t="n"/>
    </row>
    <row r="285">
      <c r="A285" s="6" t="n"/>
      <c r="B285" s="24" t="n"/>
      <c r="C285" s="6" t="n"/>
      <c r="D285" s="6" t="n"/>
      <c r="E285" s="6" t="n"/>
      <c r="F285" s="8" t="n"/>
      <c r="G285" s="8" t="n"/>
      <c r="H285" s="6" t="n"/>
    </row>
    <row r="286">
      <c r="A286" s="6" t="n"/>
      <c r="B286" s="24" t="n"/>
      <c r="C286" s="6" t="n"/>
      <c r="D286" s="6" t="n"/>
      <c r="E286" s="6" t="n"/>
      <c r="F286" s="8" t="n"/>
      <c r="G286" s="8" t="n"/>
      <c r="H286" s="6" t="n"/>
    </row>
    <row r="287">
      <c r="A287" s="6" t="n"/>
      <c r="B287" s="24" t="n"/>
      <c r="C287" s="6" t="n"/>
      <c r="D287" s="6" t="n"/>
      <c r="E287" s="6" t="n"/>
      <c r="F287" s="8" t="n"/>
      <c r="G287" s="8" t="n"/>
      <c r="H287" s="6" t="n"/>
    </row>
    <row r="288">
      <c r="A288" s="6" t="n"/>
      <c r="B288" s="24" t="n"/>
      <c r="C288" s="6" t="n"/>
      <c r="D288" s="6" t="n"/>
      <c r="E288" s="6" t="n"/>
      <c r="F288" s="8" t="n"/>
      <c r="G288" s="8" t="n"/>
      <c r="H288" s="6" t="n"/>
    </row>
    <row r="289">
      <c r="A289" s="6" t="n"/>
      <c r="B289" s="24" t="n"/>
      <c r="C289" s="6" t="n"/>
      <c r="D289" s="6" t="n"/>
      <c r="E289" s="6" t="n"/>
      <c r="F289" s="8" t="n"/>
      <c r="G289" s="8" t="n"/>
      <c r="H289" s="6" t="n"/>
    </row>
    <row r="290">
      <c r="A290" s="6" t="n"/>
      <c r="B290" s="24" t="n"/>
      <c r="C290" s="6" t="n"/>
      <c r="D290" s="6" t="n"/>
      <c r="E290" s="6" t="n"/>
      <c r="F290" s="8" t="n"/>
      <c r="G290" s="8" t="n"/>
      <c r="H290" s="6" t="n"/>
    </row>
    <row r="291">
      <c r="A291" s="6" t="n"/>
      <c r="B291" s="24" t="n"/>
      <c r="C291" s="6" t="n"/>
      <c r="D291" s="6" t="n"/>
      <c r="E291" s="6" t="n"/>
      <c r="F291" s="8" t="n"/>
      <c r="G291" s="8" t="n"/>
      <c r="H291" s="6" t="n"/>
    </row>
    <row r="292">
      <c r="A292" s="6" t="n"/>
      <c r="B292" s="24" t="n"/>
      <c r="C292" s="6" t="n"/>
      <c r="D292" s="6" t="n"/>
      <c r="E292" s="6" t="n"/>
      <c r="F292" s="8" t="n"/>
      <c r="G292" s="8" t="n"/>
      <c r="H292" s="6" t="n"/>
    </row>
    <row r="293">
      <c r="A293" s="6" t="n"/>
      <c r="B293" s="24" t="n"/>
      <c r="C293" s="6" t="n"/>
      <c r="D293" s="6" t="n"/>
      <c r="E293" s="6" t="n"/>
      <c r="F293" s="8" t="n"/>
      <c r="G293" s="8" t="n"/>
      <c r="H293" s="6" t="n"/>
    </row>
    <row r="294">
      <c r="A294" s="6" t="n"/>
      <c r="B294" s="24" t="n"/>
      <c r="C294" s="6" t="n"/>
      <c r="D294" s="6" t="n"/>
      <c r="E294" s="6" t="n"/>
      <c r="F294" s="8" t="n"/>
      <c r="G294" s="8" t="n"/>
      <c r="H294" s="6" t="n"/>
    </row>
    <row r="295">
      <c r="A295" s="6" t="n"/>
      <c r="B295" s="24" t="n"/>
      <c r="C295" s="6" t="n"/>
      <c r="D295" s="6" t="n"/>
      <c r="E295" s="6" t="n"/>
      <c r="F295" s="8" t="n"/>
      <c r="G295" s="8" t="n"/>
      <c r="H295" s="6" t="n"/>
    </row>
    <row r="296">
      <c r="A296" s="6" t="n"/>
      <c r="B296" s="24" t="n"/>
      <c r="C296" s="6" t="n"/>
      <c r="D296" s="6" t="n"/>
      <c r="E296" s="6" t="n"/>
      <c r="F296" s="8" t="n"/>
      <c r="G296" s="8" t="n"/>
      <c r="H296" s="6" t="n"/>
    </row>
    <row r="297">
      <c r="A297" s="6" t="n"/>
      <c r="B297" s="24" t="n"/>
      <c r="C297" s="6" t="n"/>
      <c r="D297" s="6" t="n"/>
      <c r="E297" s="6" t="n"/>
      <c r="F297" s="8" t="n"/>
      <c r="G297" s="8" t="n"/>
      <c r="H297" s="6" t="n"/>
    </row>
    <row r="298">
      <c r="A298" s="6" t="n"/>
      <c r="B298" s="24" t="n"/>
      <c r="C298" s="6" t="n"/>
      <c r="D298" s="6" t="n"/>
      <c r="E298" s="6" t="n"/>
      <c r="F298" s="8" t="n"/>
      <c r="G298" s="8" t="n"/>
      <c r="H298" s="6" t="n"/>
    </row>
    <row r="299">
      <c r="A299" s="6" t="n"/>
      <c r="B299" s="24" t="n"/>
      <c r="C299" s="6" t="n"/>
      <c r="D299" s="6" t="n"/>
      <c r="E299" s="6" t="n"/>
      <c r="F299" s="8" t="n"/>
      <c r="G299" s="8" t="n"/>
      <c r="H299" s="6" t="n"/>
    </row>
    <row r="300">
      <c r="A300" s="6" t="n"/>
      <c r="B300" s="24" t="n"/>
      <c r="C300" s="6" t="n"/>
      <c r="D300" s="6" t="n"/>
      <c r="E300" s="6" t="n"/>
      <c r="F300" s="8" t="n"/>
      <c r="G300" s="8" t="n"/>
      <c r="H300" s="6" t="n"/>
    </row>
    <row r="301">
      <c r="A301" s="6" t="n"/>
      <c r="B301" s="24" t="n"/>
      <c r="C301" s="6" t="n"/>
      <c r="D301" s="6" t="n"/>
      <c r="E301" s="6" t="n"/>
      <c r="F301" s="8" t="n"/>
      <c r="G301" s="8" t="n"/>
      <c r="H301" s="6" t="n"/>
    </row>
    <row r="302">
      <c r="A302" s="6" t="n"/>
      <c r="B302" s="24" t="n"/>
      <c r="C302" s="6" t="n"/>
      <c r="D302" s="6" t="n"/>
      <c r="E302" s="6" t="n"/>
      <c r="F302" s="8" t="n"/>
      <c r="G302" s="8" t="n"/>
      <c r="H302" s="6" t="n"/>
    </row>
    <row r="303">
      <c r="A303" s="6" t="n"/>
      <c r="B303" s="24" t="n"/>
      <c r="C303" s="6" t="n"/>
      <c r="D303" s="6" t="n"/>
      <c r="E303" s="6" t="n"/>
      <c r="F303" s="8" t="n"/>
      <c r="G303" s="8" t="n"/>
      <c r="H303" s="6" t="n"/>
    </row>
    <row r="304">
      <c r="A304" s="6" t="n"/>
      <c r="B304" s="24" t="n"/>
      <c r="C304" s="6" t="n"/>
      <c r="D304" s="6" t="n"/>
      <c r="E304" s="6" t="n"/>
      <c r="F304" s="8" t="n"/>
      <c r="G304" s="8" t="n"/>
      <c r="H304" s="6" t="n"/>
    </row>
    <row r="305">
      <c r="A305" s="6" t="n"/>
      <c r="B305" s="24" t="n"/>
      <c r="C305" s="6" t="n"/>
      <c r="D305" s="6" t="n"/>
      <c r="E305" s="6" t="n"/>
      <c r="F305" s="8" t="n"/>
      <c r="G305" s="8" t="n"/>
      <c r="H305" s="6" t="n"/>
    </row>
    <row r="306">
      <c r="A306" s="6" t="n"/>
      <c r="B306" s="24" t="n"/>
      <c r="C306" s="6" t="n"/>
      <c r="D306" s="6" t="n"/>
      <c r="E306" s="6" t="n"/>
      <c r="F306" s="8" t="n"/>
      <c r="G306" s="8" t="n"/>
      <c r="H306" s="6" t="n"/>
    </row>
    <row r="307">
      <c r="A307" s="6" t="n"/>
      <c r="B307" s="24" t="n"/>
      <c r="C307" s="6" t="n"/>
      <c r="D307" s="6" t="n"/>
      <c r="E307" s="6" t="n"/>
      <c r="F307" s="8" t="n"/>
      <c r="G307" s="8" t="n"/>
      <c r="H307" s="6" t="n"/>
    </row>
    <row r="308">
      <c r="A308" s="6" t="n"/>
      <c r="B308" s="24" t="n"/>
      <c r="C308" s="6" t="n"/>
      <c r="D308" s="6" t="n"/>
      <c r="E308" s="6" t="n"/>
      <c r="F308" s="8" t="n"/>
      <c r="G308" s="8" t="n"/>
      <c r="H308" s="6" t="n"/>
    </row>
    <row r="309">
      <c r="A309" s="6" t="n"/>
      <c r="B309" s="24" t="n"/>
      <c r="C309" s="6" t="n"/>
      <c r="D309" s="6" t="n"/>
      <c r="E309" s="6" t="n"/>
      <c r="F309" s="8" t="n"/>
      <c r="G309" s="8" t="n"/>
      <c r="H309" s="6" t="n"/>
    </row>
    <row r="310">
      <c r="A310" s="6" t="n"/>
      <c r="B310" s="24" t="n"/>
      <c r="C310" s="6" t="n"/>
      <c r="D310" s="6" t="n"/>
      <c r="E310" s="6" t="n"/>
      <c r="F310" s="8" t="n"/>
      <c r="G310" s="8" t="n"/>
      <c r="H310" s="6" t="n"/>
    </row>
    <row r="311">
      <c r="A311" s="6" t="n"/>
      <c r="B311" s="24" t="n"/>
      <c r="C311" s="6" t="n"/>
      <c r="D311" s="6" t="n"/>
      <c r="E311" s="6" t="n"/>
      <c r="F311" s="8" t="n"/>
      <c r="G311" s="8" t="n"/>
      <c r="H311" s="6" t="n"/>
    </row>
    <row r="312">
      <c r="A312" s="6" t="n"/>
      <c r="B312" s="24" t="n"/>
      <c r="C312" s="6" t="n"/>
      <c r="D312" s="6" t="n"/>
      <c r="E312" s="6" t="n"/>
      <c r="F312" s="8" t="n"/>
      <c r="G312" s="8" t="n"/>
      <c r="H312" s="6" t="n"/>
    </row>
    <row r="313">
      <c r="A313" s="6" t="n"/>
      <c r="B313" s="24" t="n"/>
      <c r="C313" s="6" t="n"/>
      <c r="D313" s="6" t="n"/>
      <c r="E313" s="6" t="n"/>
      <c r="F313" s="8" t="n"/>
      <c r="G313" s="8" t="n"/>
      <c r="H313" s="6" t="n"/>
    </row>
    <row r="314">
      <c r="A314" s="6" t="n"/>
      <c r="B314" s="24" t="n"/>
      <c r="C314" s="6" t="n"/>
      <c r="D314" s="6" t="n"/>
      <c r="E314" s="6" t="n"/>
      <c r="F314" s="8" t="n"/>
      <c r="G314" s="8" t="n"/>
      <c r="H314" s="6" t="n"/>
    </row>
    <row r="315">
      <c r="A315" s="6" t="n"/>
      <c r="B315" s="24" t="n"/>
      <c r="C315" s="6" t="n"/>
      <c r="D315" s="6" t="n"/>
      <c r="E315" s="6" t="n"/>
      <c r="F315" s="8" t="n"/>
      <c r="G315" s="8" t="n"/>
      <c r="H315" s="6" t="n"/>
    </row>
    <row r="316">
      <c r="A316" s="6" t="n"/>
      <c r="B316" s="24" t="n"/>
      <c r="C316" s="6" t="n"/>
      <c r="D316" s="6" t="n"/>
      <c r="E316" s="6" t="n"/>
      <c r="F316" s="8" t="n"/>
      <c r="G316" s="8" t="n"/>
      <c r="H316" s="6" t="n"/>
    </row>
    <row r="317">
      <c r="A317" s="6" t="n"/>
      <c r="B317" s="24" t="n"/>
      <c r="C317" s="6" t="n"/>
      <c r="D317" s="6" t="n"/>
      <c r="E317" s="6" t="n"/>
      <c r="F317" s="8" t="n"/>
      <c r="G317" s="8" t="n"/>
      <c r="H317" s="6" t="n"/>
    </row>
    <row r="318">
      <c r="A318" s="6" t="n"/>
      <c r="B318" s="24" t="n"/>
      <c r="C318" s="6" t="n"/>
      <c r="D318" s="6" t="n"/>
      <c r="E318" s="6" t="n"/>
      <c r="F318" s="8" t="n"/>
      <c r="G318" s="8" t="n"/>
      <c r="H318" s="6" t="n"/>
    </row>
    <row r="319">
      <c r="A319" s="6" t="n"/>
      <c r="B319" s="24" t="n"/>
      <c r="C319" s="6" t="n"/>
      <c r="D319" s="6" t="n"/>
      <c r="E319" s="6" t="n"/>
      <c r="F319" s="8" t="n"/>
      <c r="G319" s="8" t="n"/>
      <c r="H319" s="6" t="n"/>
    </row>
    <row r="320">
      <c r="A320" s="6" t="n"/>
      <c r="B320" s="24" t="n"/>
      <c r="C320" s="6" t="n"/>
      <c r="D320" s="6" t="n"/>
      <c r="E320" s="6" t="n"/>
      <c r="F320" s="8" t="n"/>
      <c r="G320" s="8" t="n"/>
      <c r="H320" s="6" t="n"/>
    </row>
    <row r="321">
      <c r="A321" s="6" t="n"/>
      <c r="B321" s="24" t="n"/>
      <c r="C321" s="6" t="n"/>
      <c r="D321" s="6" t="n"/>
      <c r="E321" s="6" t="n"/>
      <c r="F321" s="8" t="n"/>
      <c r="G321" s="8" t="n"/>
      <c r="H321" s="6" t="n"/>
    </row>
    <row r="322">
      <c r="A322" s="6" t="n"/>
      <c r="B322" s="24" t="n"/>
      <c r="C322" s="6" t="n"/>
      <c r="D322" s="6" t="n"/>
      <c r="E322" s="6" t="n"/>
      <c r="F322" s="8" t="n"/>
      <c r="G322" s="8" t="n"/>
      <c r="H322" s="6" t="n"/>
    </row>
    <row r="323">
      <c r="A323" s="6" t="n"/>
      <c r="B323" s="24" t="n"/>
      <c r="C323" s="6" t="n"/>
      <c r="D323" s="6" t="n"/>
      <c r="E323" s="6" t="n"/>
      <c r="F323" s="8" t="n"/>
      <c r="G323" s="8" t="n"/>
      <c r="H323" s="6" t="n"/>
    </row>
    <row r="324">
      <c r="A324" s="6" t="n"/>
      <c r="B324" s="24" t="n"/>
      <c r="C324" s="6" t="n"/>
      <c r="D324" s="6" t="n"/>
      <c r="E324" s="6" t="n"/>
      <c r="F324" s="8" t="n"/>
      <c r="G324" s="8" t="n"/>
      <c r="H324" s="6" t="n"/>
    </row>
    <row r="325">
      <c r="A325" s="6" t="n"/>
      <c r="B325" s="24" t="n"/>
      <c r="C325" s="6" t="n"/>
      <c r="D325" s="6" t="n"/>
      <c r="E325" s="6" t="n"/>
      <c r="F325" s="8" t="n"/>
      <c r="G325" s="8" t="n"/>
      <c r="H325" s="6" t="n"/>
    </row>
    <row r="326">
      <c r="A326" s="6" t="n"/>
      <c r="B326" s="24" t="n"/>
      <c r="C326" s="6" t="n"/>
      <c r="D326" s="6" t="n"/>
      <c r="E326" s="6" t="n"/>
      <c r="F326" s="8" t="n"/>
      <c r="G326" s="8" t="n"/>
      <c r="H326" s="6" t="n"/>
    </row>
    <row r="327">
      <c r="A327" s="6" t="n"/>
      <c r="B327" s="24" t="n"/>
      <c r="C327" s="6" t="n"/>
      <c r="D327" s="6" t="n"/>
      <c r="E327" s="6" t="n"/>
      <c r="F327" s="8" t="n"/>
      <c r="G327" s="8" t="n"/>
      <c r="H327" s="6" t="n"/>
    </row>
    <row r="328">
      <c r="A328" s="6" t="n"/>
      <c r="B328" s="24" t="n"/>
      <c r="C328" s="6" t="n"/>
      <c r="D328" s="6" t="n"/>
      <c r="E328" s="6" t="n"/>
      <c r="F328" s="8" t="n"/>
      <c r="G328" s="8" t="n"/>
      <c r="H328" s="6" t="n"/>
    </row>
    <row r="329">
      <c r="A329" s="6" t="n"/>
      <c r="B329" s="24" t="n"/>
      <c r="C329" s="6" t="n"/>
      <c r="D329" s="6" t="n"/>
      <c r="E329" s="6" t="n"/>
      <c r="F329" s="8" t="n"/>
      <c r="G329" s="8" t="n"/>
      <c r="H329" s="6" t="n"/>
    </row>
    <row r="330">
      <c r="A330" s="6" t="n"/>
      <c r="B330" s="24" t="n"/>
      <c r="C330" s="6" t="n"/>
      <c r="D330" s="6" t="n"/>
      <c r="E330" s="6" t="n"/>
      <c r="F330" s="8" t="n"/>
      <c r="G330" s="8" t="n"/>
      <c r="H330" s="6" t="n"/>
    </row>
    <row r="331">
      <c r="A331" s="6" t="n"/>
      <c r="B331" s="24" t="n"/>
      <c r="C331" s="6" t="n"/>
      <c r="D331" s="6" t="n"/>
      <c r="E331" s="6" t="n"/>
      <c r="F331" s="8" t="n"/>
      <c r="G331" s="8" t="n"/>
      <c r="H331" s="6" t="n"/>
    </row>
    <row r="332">
      <c r="A332" s="6" t="n"/>
      <c r="B332" s="24" t="n"/>
      <c r="C332" s="6" t="n"/>
      <c r="D332" s="6" t="n"/>
      <c r="E332" s="6" t="n"/>
      <c r="F332" s="8" t="n"/>
      <c r="G332" s="8" t="n"/>
      <c r="H332" s="6" t="n"/>
    </row>
    <row r="333">
      <c r="A333" s="6" t="n"/>
      <c r="B333" s="24" t="n"/>
      <c r="C333" s="6" t="n"/>
      <c r="D333" s="6" t="n"/>
      <c r="E333" s="6" t="n"/>
      <c r="F333" s="8" t="n"/>
      <c r="G333" s="8" t="n"/>
      <c r="H333" s="6" t="n"/>
    </row>
    <row r="334">
      <c r="A334" s="6" t="n"/>
      <c r="B334" s="24" t="n"/>
      <c r="C334" s="6" t="n"/>
      <c r="D334" s="6" t="n"/>
      <c r="E334" s="6" t="n"/>
      <c r="F334" s="8" t="n"/>
      <c r="G334" s="8" t="n"/>
      <c r="H334" s="6" t="n"/>
    </row>
    <row r="335">
      <c r="A335" s="6" t="n"/>
      <c r="B335" s="24" t="n"/>
      <c r="C335" s="6" t="n"/>
      <c r="D335" s="6" t="n"/>
      <c r="E335" s="6" t="n"/>
      <c r="F335" s="8" t="n"/>
      <c r="G335" s="8" t="n"/>
      <c r="H335" s="6" t="n"/>
    </row>
    <row r="336">
      <c r="A336" s="6" t="n"/>
      <c r="B336" s="24" t="n"/>
      <c r="C336" s="6" t="n"/>
      <c r="D336" s="6" t="n"/>
      <c r="E336" s="6" t="n"/>
      <c r="F336" s="8" t="n"/>
      <c r="G336" s="8" t="n"/>
      <c r="H336" s="6" t="n"/>
    </row>
    <row r="337">
      <c r="A337" s="6" t="n"/>
      <c r="B337" s="24" t="n"/>
      <c r="C337" s="6" t="n"/>
      <c r="D337" s="6" t="n"/>
      <c r="E337" s="6" t="n"/>
      <c r="F337" s="8" t="n"/>
      <c r="G337" s="8" t="n"/>
      <c r="H337" s="6" t="n"/>
    </row>
    <row r="338">
      <c r="A338" s="6" t="n"/>
      <c r="B338" s="24" t="n"/>
      <c r="C338" s="6" t="n"/>
      <c r="D338" s="6" t="n"/>
      <c r="E338" s="6" t="n"/>
      <c r="F338" s="8" t="n"/>
      <c r="G338" s="8" t="n"/>
      <c r="H338" s="6" t="n"/>
    </row>
    <row r="339">
      <c r="A339" s="6" t="n"/>
      <c r="B339" s="24" t="n"/>
      <c r="C339" s="6" t="n"/>
      <c r="D339" s="6" t="n"/>
      <c r="E339" s="6" t="n"/>
      <c r="F339" s="8" t="n"/>
      <c r="G339" s="8" t="n"/>
      <c r="H339" s="6" t="n"/>
    </row>
    <row r="340">
      <c r="A340" s="6" t="n"/>
      <c r="B340" s="24" t="n"/>
      <c r="C340" s="6" t="n"/>
      <c r="D340" s="6" t="n"/>
      <c r="E340" s="6" t="n"/>
      <c r="F340" s="8" t="n"/>
      <c r="G340" s="8" t="n"/>
      <c r="H340" s="6" t="n"/>
    </row>
    <row r="341">
      <c r="A341" s="6" t="n"/>
      <c r="B341" s="24" t="n"/>
      <c r="C341" s="6" t="n"/>
      <c r="D341" s="6" t="n"/>
      <c r="E341" s="6" t="n"/>
      <c r="F341" s="8" t="n"/>
      <c r="G341" s="8" t="n"/>
      <c r="H341" s="6" t="n"/>
    </row>
    <row r="342">
      <c r="A342" s="6" t="n"/>
      <c r="B342" s="24" t="n"/>
      <c r="C342" s="6" t="n"/>
      <c r="D342" s="6" t="n"/>
      <c r="E342" s="6" t="n"/>
      <c r="F342" s="8" t="n"/>
      <c r="G342" s="8" t="n"/>
      <c r="H342" s="6" t="n"/>
    </row>
    <row r="343">
      <c r="A343" s="6" t="n"/>
      <c r="B343" s="24" t="n"/>
      <c r="C343" s="6" t="n"/>
      <c r="D343" s="6" t="n"/>
      <c r="E343" s="6" t="n"/>
      <c r="F343" s="8" t="n"/>
      <c r="G343" s="8" t="n"/>
      <c r="H343" s="6" t="n"/>
    </row>
    <row r="344">
      <c r="A344" s="6" t="n"/>
      <c r="B344" s="24" t="n"/>
      <c r="C344" s="6" t="n"/>
      <c r="D344" s="6" t="n"/>
      <c r="E344" s="6" t="n"/>
      <c r="F344" s="8" t="n"/>
      <c r="G344" s="8" t="n"/>
      <c r="H344" s="6" t="n"/>
    </row>
    <row r="345">
      <c r="A345" s="6" t="n"/>
      <c r="B345" s="24" t="n"/>
      <c r="C345" s="6" t="n"/>
      <c r="D345" s="6" t="n"/>
      <c r="E345" s="6" t="n"/>
      <c r="F345" s="8" t="n"/>
      <c r="G345" s="8" t="n"/>
      <c r="H345" s="6" t="n"/>
    </row>
    <row r="346">
      <c r="A346" s="6" t="n"/>
      <c r="B346" s="24" t="n"/>
      <c r="C346" s="6" t="n"/>
      <c r="D346" s="6" t="n"/>
      <c r="E346" s="6" t="n"/>
      <c r="F346" s="8" t="n"/>
      <c r="G346" s="8" t="n"/>
      <c r="H346" s="6" t="n"/>
    </row>
    <row r="347">
      <c r="A347" s="6" t="n"/>
      <c r="B347" s="24" t="n"/>
      <c r="C347" s="6" t="n"/>
      <c r="D347" s="6" t="n"/>
      <c r="E347" s="6" t="n"/>
      <c r="F347" s="8" t="n"/>
      <c r="G347" s="8" t="n"/>
      <c r="H347" s="6" t="n"/>
    </row>
    <row r="348">
      <c r="A348" s="6" t="n"/>
      <c r="B348" s="24" t="n"/>
      <c r="C348" s="6" t="n"/>
      <c r="D348" s="6" t="n"/>
      <c r="E348" s="6" t="n"/>
      <c r="F348" s="8" t="n"/>
      <c r="G348" s="8" t="n"/>
      <c r="H348" s="6" t="n"/>
    </row>
    <row r="349">
      <c r="A349" s="6" t="n"/>
      <c r="B349" s="24" t="n"/>
      <c r="C349" s="6" t="n"/>
      <c r="D349" s="6" t="n"/>
      <c r="E349" s="6" t="n"/>
      <c r="F349" s="8" t="n"/>
      <c r="G349" s="8" t="n"/>
      <c r="H349" s="6" t="n"/>
    </row>
    <row r="350">
      <c r="A350" s="6" t="n"/>
      <c r="B350" s="24" t="n"/>
      <c r="C350" s="6" t="n"/>
      <c r="D350" s="6" t="n"/>
      <c r="E350" s="6" t="n"/>
      <c r="F350" s="8" t="n"/>
      <c r="G350" s="8" t="n"/>
      <c r="H350" s="6" t="n"/>
    </row>
    <row r="351">
      <c r="A351" s="6" t="n"/>
      <c r="B351" s="24" t="n"/>
      <c r="C351" s="6" t="n"/>
      <c r="D351" s="6" t="n"/>
      <c r="E351" s="6" t="n"/>
      <c r="F351" s="8" t="n"/>
      <c r="G351" s="8" t="n"/>
      <c r="H351" s="6" t="n"/>
    </row>
    <row r="352">
      <c r="A352" s="6" t="n"/>
      <c r="B352" s="24" t="n"/>
      <c r="C352" s="6" t="n"/>
      <c r="D352" s="6" t="n"/>
      <c r="E352" s="6" t="n"/>
      <c r="F352" s="8" t="n"/>
      <c r="G352" s="8" t="n"/>
      <c r="H352" s="6" t="n"/>
    </row>
    <row r="353">
      <c r="A353" s="6" t="n"/>
      <c r="B353" s="24" t="n"/>
      <c r="C353" s="6" t="n"/>
      <c r="D353" s="6" t="n"/>
      <c r="E353" s="6" t="n"/>
      <c r="F353" s="8" t="n"/>
      <c r="G353" s="8" t="n"/>
      <c r="H353" s="6" t="n"/>
    </row>
    <row r="354">
      <c r="A354" s="6" t="n"/>
      <c r="B354" s="24" t="n"/>
      <c r="C354" s="6" t="n"/>
      <c r="D354" s="6" t="n"/>
      <c r="E354" s="6" t="n"/>
      <c r="F354" s="8" t="n"/>
      <c r="G354" s="8" t="n"/>
      <c r="H354" s="6" t="n"/>
    </row>
    <row r="355">
      <c r="A355" s="6" t="n"/>
      <c r="B355" s="24" t="n"/>
      <c r="C355" s="6" t="n"/>
      <c r="D355" s="6" t="n"/>
      <c r="E355" s="6" t="n"/>
      <c r="F355" s="8" t="n"/>
      <c r="G355" s="8" t="n"/>
      <c r="H355" s="6" t="n"/>
    </row>
    <row r="356">
      <c r="A356" s="6" t="n"/>
      <c r="B356" s="24" t="n"/>
      <c r="C356" s="6" t="n"/>
      <c r="D356" s="6" t="n"/>
      <c r="E356" s="6" t="n"/>
      <c r="F356" s="8" t="n"/>
      <c r="G356" s="8" t="n"/>
      <c r="H356" s="6" t="n"/>
    </row>
    <row r="357">
      <c r="A357" s="6" t="n"/>
      <c r="B357" s="24" t="n"/>
      <c r="C357" s="6" t="n"/>
      <c r="D357" s="6" t="n"/>
      <c r="E357" s="6" t="n"/>
      <c r="F357" s="8" t="n"/>
      <c r="G357" s="8" t="n"/>
      <c r="H357" s="6" t="n"/>
    </row>
    <row r="358">
      <c r="A358" s="6" t="n"/>
      <c r="B358" s="24" t="n"/>
      <c r="C358" s="6" t="n"/>
      <c r="D358" s="6" t="n"/>
      <c r="E358" s="6" t="n"/>
      <c r="F358" s="8" t="n"/>
      <c r="G358" s="8" t="n"/>
      <c r="H358" s="6" t="n"/>
    </row>
    <row r="359">
      <c r="A359" s="6" t="n"/>
      <c r="B359" s="24" t="n"/>
      <c r="C359" s="6" t="n"/>
      <c r="D359" s="6" t="n"/>
      <c r="E359" s="6" t="n"/>
      <c r="F359" s="8" t="n"/>
      <c r="G359" s="8" t="n"/>
      <c r="H359" s="6" t="n"/>
    </row>
    <row r="360">
      <c r="A360" s="6" t="n"/>
      <c r="B360" s="24" t="n"/>
      <c r="C360" s="6" t="n"/>
      <c r="D360" s="6" t="n"/>
      <c r="E360" s="6" t="n"/>
      <c r="F360" s="8" t="n"/>
      <c r="G360" s="8" t="n"/>
      <c r="H360" s="6" t="n"/>
    </row>
    <row r="361">
      <c r="A361" s="6" t="n"/>
      <c r="B361" s="24" t="n"/>
      <c r="C361" s="6" t="n"/>
      <c r="D361" s="6" t="n"/>
      <c r="E361" s="6" t="n"/>
      <c r="F361" s="8" t="n"/>
      <c r="G361" s="8" t="n"/>
      <c r="H361" s="6" t="n"/>
    </row>
    <row r="362">
      <c r="A362" s="6" t="n"/>
      <c r="B362" s="24" t="n"/>
      <c r="C362" s="6" t="n"/>
      <c r="D362" s="6" t="n"/>
      <c r="E362" s="6" t="n"/>
      <c r="F362" s="8" t="n"/>
      <c r="G362" s="8" t="n"/>
      <c r="H362" s="6" t="n"/>
    </row>
    <row r="363">
      <c r="A363" s="6" t="n"/>
      <c r="B363" s="24" t="n"/>
      <c r="C363" s="6" t="n"/>
      <c r="D363" s="6" t="n"/>
      <c r="E363" s="6" t="n"/>
      <c r="F363" s="8" t="n"/>
      <c r="G363" s="8" t="n"/>
      <c r="H363" s="6" t="n"/>
    </row>
    <row r="364">
      <c r="A364" s="6" t="n"/>
      <c r="B364" s="24" t="n"/>
      <c r="C364" s="6" t="n"/>
      <c r="D364" s="6" t="n"/>
      <c r="E364" s="6" t="n"/>
      <c r="F364" s="8" t="n"/>
      <c r="G364" s="8" t="n"/>
      <c r="H364" s="6" t="n"/>
    </row>
    <row r="365">
      <c r="A365" s="6" t="n"/>
      <c r="B365" s="24" t="n"/>
      <c r="C365" s="6" t="n"/>
      <c r="D365" s="6" t="n"/>
      <c r="E365" s="6" t="n"/>
      <c r="F365" s="8" t="n"/>
      <c r="G365" s="8" t="n"/>
      <c r="H365" s="6" t="n"/>
    </row>
    <row r="366">
      <c r="A366" s="6" t="n"/>
      <c r="B366" s="24" t="n"/>
      <c r="C366" s="6" t="n"/>
      <c r="D366" s="6" t="n"/>
      <c r="E366" s="6" t="n"/>
      <c r="F366" s="8" t="n"/>
      <c r="G366" s="8" t="n"/>
      <c r="H366" s="6" t="n"/>
    </row>
    <row r="367">
      <c r="A367" s="6" t="n"/>
      <c r="B367" s="24" t="n"/>
      <c r="C367" s="6" t="n"/>
      <c r="D367" s="6" t="n"/>
      <c r="E367" s="6" t="n"/>
      <c r="F367" s="8" t="n"/>
      <c r="G367" s="8" t="n"/>
      <c r="H367" s="6" t="n"/>
    </row>
    <row r="368">
      <c r="A368" s="6" t="n"/>
      <c r="B368" s="24" t="n"/>
      <c r="C368" s="6" t="n"/>
      <c r="D368" s="6" t="n"/>
      <c r="E368" s="6" t="n"/>
      <c r="F368" s="8" t="n"/>
      <c r="G368" s="8" t="n"/>
      <c r="H368" s="6" t="n"/>
    </row>
    <row r="369">
      <c r="A369" s="6" t="n"/>
      <c r="B369" s="24" t="n"/>
      <c r="C369" s="6" t="n"/>
      <c r="D369" s="6" t="n"/>
      <c r="E369" s="6" t="n"/>
      <c r="F369" s="8" t="n"/>
      <c r="G369" s="8" t="n"/>
      <c r="H369" s="6" t="n"/>
    </row>
    <row r="370">
      <c r="A370" s="6" t="n"/>
      <c r="B370" s="24" t="n"/>
      <c r="C370" s="6" t="n"/>
      <c r="D370" s="6" t="n"/>
      <c r="E370" s="6" t="n"/>
      <c r="F370" s="8" t="n"/>
      <c r="G370" s="8" t="n"/>
      <c r="H370" s="6" t="n"/>
    </row>
    <row r="371">
      <c r="A371" s="6" t="n"/>
      <c r="B371" s="24" t="n"/>
      <c r="C371" s="6" t="n"/>
      <c r="D371" s="6" t="n"/>
      <c r="E371" s="6" t="n"/>
      <c r="F371" s="8" t="n"/>
      <c r="G371" s="8" t="n"/>
      <c r="H371" s="6" t="n"/>
    </row>
    <row r="372">
      <c r="A372" s="6" t="n"/>
      <c r="B372" s="24" t="n"/>
      <c r="C372" s="6" t="n"/>
      <c r="D372" s="6" t="n"/>
      <c r="E372" s="6" t="n"/>
      <c r="F372" s="8" t="n"/>
      <c r="G372" s="8" t="n"/>
      <c r="H372" s="6" t="n"/>
    </row>
    <row r="373">
      <c r="A373" s="6" t="n"/>
      <c r="B373" s="24" t="n"/>
      <c r="C373" s="6" t="n"/>
      <c r="D373" s="6" t="n"/>
      <c r="E373" s="6" t="n"/>
      <c r="F373" s="8" t="n"/>
      <c r="G373" s="8" t="n"/>
      <c r="H373" s="6" t="n"/>
    </row>
    <row r="374">
      <c r="A374" s="6" t="n"/>
      <c r="B374" s="24" t="n"/>
      <c r="C374" s="6" t="n"/>
      <c r="D374" s="6" t="n"/>
      <c r="E374" s="6" t="n"/>
      <c r="F374" s="8" t="n"/>
      <c r="G374" s="8" t="n"/>
      <c r="H374" s="6" t="n"/>
    </row>
    <row r="375">
      <c r="A375" s="6" t="n"/>
      <c r="B375" s="24" t="n"/>
      <c r="C375" s="6" t="n"/>
      <c r="D375" s="6" t="n"/>
      <c r="E375" s="6" t="n"/>
      <c r="F375" s="8" t="n"/>
      <c r="G375" s="8" t="n"/>
      <c r="H375" s="6" t="n"/>
    </row>
    <row r="376">
      <c r="A376" s="6" t="n"/>
      <c r="B376" s="24" t="n"/>
      <c r="C376" s="6" t="n"/>
      <c r="D376" s="6" t="n"/>
      <c r="E376" s="6" t="n"/>
      <c r="F376" s="8" t="n"/>
      <c r="G376" s="8" t="n"/>
      <c r="H376" s="6" t="n"/>
    </row>
    <row r="377">
      <c r="A377" s="6" t="n"/>
      <c r="B377" s="24" t="n"/>
      <c r="C377" s="6" t="n"/>
      <c r="D377" s="6" t="n"/>
      <c r="E377" s="6" t="n"/>
      <c r="F377" s="8" t="n"/>
      <c r="G377" s="8" t="n"/>
      <c r="H377" s="6" t="n"/>
    </row>
    <row r="378">
      <c r="A378" s="6" t="n"/>
      <c r="B378" s="24" t="n"/>
      <c r="C378" s="6" t="n"/>
      <c r="D378" s="6" t="n"/>
      <c r="E378" s="6" t="n"/>
      <c r="F378" s="8" t="n"/>
      <c r="G378" s="8" t="n"/>
      <c r="H378" s="6" t="n"/>
    </row>
    <row r="379">
      <c r="A379" s="6" t="n"/>
      <c r="B379" s="24" t="n"/>
      <c r="C379" s="6" t="n"/>
      <c r="D379" s="6" t="n"/>
      <c r="E379" s="6" t="n"/>
      <c r="F379" s="8" t="n"/>
      <c r="G379" s="8" t="n"/>
      <c r="H379" s="6" t="n"/>
    </row>
    <row r="380">
      <c r="A380" s="6" t="n"/>
      <c r="B380" s="24" t="n"/>
      <c r="C380" s="6" t="n"/>
      <c r="D380" s="6" t="n"/>
      <c r="E380" s="6" t="n"/>
      <c r="F380" s="8" t="n"/>
      <c r="G380" s="8" t="n"/>
      <c r="H380" s="6" t="n"/>
    </row>
    <row r="381">
      <c r="A381" s="6" t="n"/>
      <c r="B381" s="24" t="n"/>
      <c r="C381" s="6" t="n"/>
      <c r="D381" s="6" t="n"/>
      <c r="E381" s="6" t="n"/>
      <c r="F381" s="8" t="n"/>
      <c r="G381" s="8" t="n"/>
      <c r="H381" s="6" t="n"/>
    </row>
    <row r="382">
      <c r="A382" s="6" t="n"/>
      <c r="B382" s="24" t="n"/>
      <c r="C382" s="6" t="n"/>
      <c r="D382" s="6" t="n"/>
      <c r="E382" s="6" t="n"/>
      <c r="F382" s="8" t="n"/>
      <c r="G382" s="8" t="n"/>
      <c r="H382" s="6" t="n"/>
    </row>
    <row r="383">
      <c r="A383" s="6" t="n"/>
      <c r="B383" s="24" t="n"/>
      <c r="C383" s="6" t="n"/>
      <c r="D383" s="6" t="n"/>
      <c r="E383" s="6" t="n"/>
      <c r="F383" s="8" t="n"/>
      <c r="G383" s="8" t="n"/>
      <c r="H383" s="6" t="n"/>
    </row>
    <row r="384">
      <c r="A384" s="6" t="n"/>
      <c r="B384" s="24" t="n"/>
      <c r="C384" s="6" t="n"/>
      <c r="D384" s="6" t="n"/>
      <c r="E384" s="6" t="n"/>
      <c r="F384" s="8" t="n"/>
      <c r="G384" s="8" t="n"/>
      <c r="H384" s="6" t="n"/>
    </row>
    <row r="385">
      <c r="A385" s="6" t="n"/>
      <c r="B385" s="24" t="n"/>
      <c r="C385" s="6" t="n"/>
      <c r="D385" s="6" t="n"/>
      <c r="E385" s="6" t="n"/>
      <c r="F385" s="8" t="n"/>
      <c r="G385" s="8" t="n"/>
      <c r="H385" s="6" t="n"/>
    </row>
    <row r="386">
      <c r="A386" s="6" t="n"/>
      <c r="B386" s="24" t="n"/>
      <c r="C386" s="6" t="n"/>
      <c r="D386" s="6" t="n"/>
      <c r="E386" s="6" t="n"/>
      <c r="F386" s="8" t="n"/>
      <c r="G386" s="8" t="n"/>
      <c r="H386" s="6" t="n"/>
    </row>
    <row r="387">
      <c r="A387" s="6" t="n"/>
      <c r="B387" s="24" t="n"/>
      <c r="C387" s="6" t="n"/>
      <c r="D387" s="6" t="n"/>
      <c r="E387" s="6" t="n"/>
      <c r="F387" s="8" t="n"/>
      <c r="G387" s="8" t="n"/>
      <c r="H387" s="6" t="n"/>
    </row>
    <row r="388">
      <c r="A388" s="6" t="n"/>
      <c r="B388" s="24" t="n"/>
      <c r="C388" s="6" t="n"/>
      <c r="D388" s="6" t="n"/>
      <c r="E388" s="6" t="n"/>
      <c r="F388" s="8" t="n"/>
      <c r="G388" s="8" t="n"/>
      <c r="H388" s="6" t="n"/>
    </row>
    <row r="389">
      <c r="A389" s="6" t="n"/>
      <c r="B389" s="24" t="n"/>
      <c r="C389" s="6" t="n"/>
      <c r="D389" s="6" t="n"/>
      <c r="E389" s="6" t="n"/>
      <c r="F389" s="8" t="n"/>
      <c r="G389" s="8" t="n"/>
      <c r="H389" s="6" t="n"/>
    </row>
    <row r="390">
      <c r="A390" s="6" t="n"/>
      <c r="B390" s="24" t="n"/>
      <c r="C390" s="6" t="n"/>
      <c r="D390" s="6" t="n"/>
      <c r="E390" s="6" t="n"/>
      <c r="F390" s="8" t="n"/>
      <c r="G390" s="8" t="n"/>
      <c r="H390" s="6" t="n"/>
    </row>
    <row r="391">
      <c r="A391" s="6" t="n"/>
      <c r="B391" s="24" t="n"/>
      <c r="C391" s="6" t="n"/>
      <c r="D391" s="6" t="n"/>
      <c r="E391" s="6" t="n"/>
      <c r="F391" s="8" t="n"/>
      <c r="G391" s="8" t="n"/>
      <c r="H391" s="6" t="n"/>
    </row>
    <row r="392">
      <c r="A392" s="6" t="n"/>
      <c r="B392" s="24" t="n"/>
      <c r="C392" s="6" t="n"/>
      <c r="D392" s="6" t="n"/>
      <c r="E392" s="6" t="n"/>
      <c r="F392" s="8" t="n"/>
      <c r="G392" s="8" t="n"/>
      <c r="H392" s="6" t="n"/>
    </row>
    <row r="393">
      <c r="A393" s="6" t="n"/>
      <c r="B393" s="24" t="n"/>
      <c r="C393" s="6" t="n"/>
      <c r="D393" s="6" t="n"/>
      <c r="E393" s="6" t="n"/>
      <c r="F393" s="8" t="n"/>
      <c r="G393" s="8" t="n"/>
      <c r="H393" s="6" t="n"/>
    </row>
    <row r="394">
      <c r="A394" s="6" t="n"/>
      <c r="B394" s="24" t="n"/>
      <c r="C394" s="6" t="n"/>
      <c r="D394" s="6" t="n"/>
      <c r="E394" s="6" t="n"/>
      <c r="F394" s="8" t="n"/>
      <c r="G394" s="8" t="n"/>
      <c r="H394" s="6" t="n"/>
    </row>
    <row r="395">
      <c r="A395" s="6" t="n"/>
      <c r="B395" s="24" t="n"/>
      <c r="C395" s="6" t="n"/>
      <c r="D395" s="6" t="n"/>
      <c r="E395" s="6" t="n"/>
      <c r="F395" s="8" t="n"/>
      <c r="G395" s="8" t="n"/>
      <c r="H395" s="6" t="n"/>
    </row>
    <row r="396">
      <c r="A396" s="6" t="n"/>
      <c r="B396" s="24" t="n"/>
      <c r="C396" s="6" t="n"/>
      <c r="D396" s="6" t="n"/>
      <c r="E396" s="6" t="n"/>
      <c r="F396" s="8" t="n"/>
      <c r="G396" s="8" t="n"/>
      <c r="H396" s="6" t="n"/>
    </row>
    <row r="397">
      <c r="A397" s="6" t="n"/>
      <c r="B397" s="24" t="n"/>
      <c r="C397" s="6" t="n"/>
      <c r="D397" s="6" t="n"/>
      <c r="E397" s="6" t="n"/>
      <c r="F397" s="8" t="n"/>
      <c r="G397" s="8" t="n"/>
      <c r="H397" s="6" t="n"/>
    </row>
    <row r="398">
      <c r="A398" s="6" t="n"/>
      <c r="B398" s="24" t="n"/>
      <c r="C398" s="6" t="n"/>
      <c r="D398" s="6" t="n"/>
      <c r="E398" s="6" t="n"/>
      <c r="F398" s="8" t="n"/>
      <c r="G398" s="8" t="n"/>
      <c r="H398" s="6" t="n"/>
    </row>
    <row r="399">
      <c r="A399" s="6" t="n"/>
      <c r="B399" s="24" t="n"/>
      <c r="C399" s="6" t="n"/>
      <c r="D399" s="6" t="n"/>
      <c r="E399" s="6" t="n"/>
      <c r="F399" s="8" t="n"/>
      <c r="G399" s="8" t="n"/>
      <c r="H399" s="6" t="n"/>
    </row>
    <row r="400">
      <c r="A400" s="6" t="n"/>
      <c r="B400" s="24" t="n"/>
      <c r="C400" s="6" t="n"/>
      <c r="D400" s="6" t="n"/>
      <c r="E400" s="6" t="n"/>
      <c r="F400" s="8" t="n"/>
      <c r="G400" s="8" t="n"/>
      <c r="H400" s="6" t="n"/>
    </row>
    <row r="401">
      <c r="A401" s="6" t="n"/>
      <c r="B401" s="24" t="n"/>
      <c r="C401" s="6" t="n"/>
      <c r="D401" s="6" t="n"/>
      <c r="E401" s="6" t="n"/>
      <c r="F401" s="8" t="n"/>
      <c r="G401" s="8" t="n"/>
      <c r="H401" s="6" t="n"/>
    </row>
    <row r="402">
      <c r="A402" s="6" t="n"/>
      <c r="B402" s="24" t="n"/>
      <c r="C402" s="6" t="n"/>
      <c r="D402" s="6" t="n"/>
      <c r="E402" s="6" t="n"/>
      <c r="F402" s="8" t="n"/>
      <c r="G402" s="8" t="n"/>
      <c r="H402" s="6" t="n"/>
    </row>
    <row r="403">
      <c r="A403" s="6" t="n"/>
      <c r="B403" s="24" t="n"/>
      <c r="C403" s="6" t="n"/>
      <c r="D403" s="6" t="n"/>
      <c r="E403" s="6" t="n"/>
      <c r="F403" s="8" t="n"/>
      <c r="G403" s="8" t="n"/>
      <c r="H403" s="6" t="n"/>
    </row>
    <row r="404">
      <c r="A404" s="6" t="n"/>
      <c r="B404" s="24" t="n"/>
      <c r="C404" s="6" t="n"/>
      <c r="D404" s="6" t="n"/>
      <c r="E404" s="6" t="n"/>
      <c r="F404" s="8" t="n"/>
      <c r="G404" s="8" t="n"/>
      <c r="H404" s="6" t="n"/>
    </row>
    <row r="405">
      <c r="A405" s="6" t="n"/>
      <c r="B405" s="24" t="n"/>
      <c r="C405" s="6" t="n"/>
      <c r="D405" s="6" t="n"/>
      <c r="E405" s="6" t="n"/>
      <c r="F405" s="8" t="n"/>
      <c r="G405" s="8" t="n"/>
      <c r="H405" s="6" t="n"/>
    </row>
    <row r="406">
      <c r="A406" s="6" t="n"/>
      <c r="B406" s="24" t="n"/>
      <c r="C406" s="6" t="n"/>
      <c r="D406" s="6" t="n"/>
      <c r="E406" s="6" t="n"/>
      <c r="F406" s="8" t="n"/>
      <c r="G406" s="8" t="n"/>
      <c r="H406" s="6" t="n"/>
    </row>
    <row r="407">
      <c r="A407" s="6" t="n"/>
      <c r="B407" s="24" t="n"/>
      <c r="C407" s="6" t="n"/>
      <c r="D407" s="6" t="n"/>
      <c r="E407" s="6" t="n"/>
      <c r="F407" s="8" t="n"/>
      <c r="G407" s="8" t="n"/>
      <c r="H407" s="6" t="n"/>
    </row>
    <row r="408">
      <c r="A408" s="6" t="n"/>
      <c r="B408" s="24" t="n"/>
      <c r="C408" s="6" t="n"/>
      <c r="D408" s="6" t="n"/>
      <c r="E408" s="6" t="n"/>
      <c r="F408" s="8" t="n"/>
      <c r="G408" s="8" t="n"/>
      <c r="H408" s="6" t="n"/>
    </row>
    <row r="409">
      <c r="A409" s="6" t="n"/>
      <c r="B409" s="24" t="n"/>
      <c r="C409" s="6" t="n"/>
      <c r="D409" s="6" t="n"/>
      <c r="E409" s="6" t="n"/>
      <c r="F409" s="8" t="n"/>
      <c r="G409" s="8" t="n"/>
      <c r="H409" s="6" t="n"/>
    </row>
    <row r="410">
      <c r="A410" s="6" t="n"/>
      <c r="B410" s="24" t="n"/>
      <c r="C410" s="6" t="n"/>
      <c r="D410" s="6" t="n"/>
      <c r="E410" s="6" t="n"/>
      <c r="F410" s="8" t="n"/>
      <c r="G410" s="8" t="n"/>
      <c r="H410" s="6" t="n"/>
    </row>
    <row r="411">
      <c r="A411" s="6" t="n"/>
      <c r="B411" s="24" t="n"/>
      <c r="C411" s="6" t="n"/>
      <c r="D411" s="6" t="n"/>
      <c r="E411" s="6" t="n"/>
      <c r="F411" s="8" t="n"/>
      <c r="G411" s="8" t="n"/>
      <c r="H411" s="6" t="n"/>
    </row>
    <row r="412">
      <c r="A412" s="6" t="n"/>
      <c r="B412" s="24" t="n"/>
      <c r="C412" s="6" t="n"/>
      <c r="D412" s="6" t="n"/>
      <c r="E412" s="6" t="n"/>
      <c r="F412" s="8" t="n"/>
      <c r="G412" s="8" t="n"/>
      <c r="H412" s="6" t="n"/>
    </row>
    <row r="413">
      <c r="A413" s="6" t="n"/>
      <c r="B413" s="24" t="n"/>
      <c r="C413" s="6" t="n"/>
      <c r="D413" s="6" t="n"/>
      <c r="E413" s="6" t="n"/>
      <c r="F413" s="8" t="n"/>
      <c r="G413" s="8" t="n"/>
      <c r="H413" s="6" t="n"/>
    </row>
    <row r="414">
      <c r="A414" s="6" t="n"/>
      <c r="B414" s="24" t="n"/>
      <c r="C414" s="6" t="n"/>
      <c r="D414" s="6" t="n"/>
      <c r="E414" s="6" t="n"/>
      <c r="F414" s="8" t="n"/>
      <c r="G414" s="8" t="n"/>
      <c r="H414" s="6" t="n"/>
    </row>
    <row r="415">
      <c r="A415" s="6" t="n"/>
      <c r="B415" s="24" t="n"/>
      <c r="C415" s="6" t="n"/>
      <c r="D415" s="6" t="n"/>
      <c r="E415" s="6" t="n"/>
      <c r="F415" s="8" t="n"/>
      <c r="G415" s="8" t="n"/>
      <c r="H415" s="6" t="n"/>
    </row>
    <row r="416">
      <c r="A416" s="6" t="n"/>
      <c r="B416" s="24" t="n"/>
      <c r="C416" s="6" t="n"/>
      <c r="D416" s="6" t="n"/>
      <c r="E416" s="6" t="n"/>
      <c r="F416" s="8" t="n"/>
      <c r="G416" s="8" t="n"/>
      <c r="H416" s="6" t="n"/>
    </row>
    <row r="417">
      <c r="A417" s="6" t="n"/>
      <c r="B417" s="24" t="n"/>
      <c r="C417" s="6" t="n"/>
      <c r="D417" s="6" t="n"/>
      <c r="E417" s="6" t="n"/>
      <c r="F417" s="8" t="n"/>
      <c r="G417" s="8" t="n"/>
      <c r="H417" s="6" t="n"/>
    </row>
    <row r="418">
      <c r="A418" s="6" t="n"/>
      <c r="B418" s="24" t="n"/>
      <c r="C418" s="6" t="n"/>
      <c r="D418" s="6" t="n"/>
      <c r="E418" s="6" t="n"/>
      <c r="F418" s="8" t="n"/>
      <c r="G418" s="8" t="n"/>
      <c r="H418" s="6" t="n"/>
    </row>
    <row r="419">
      <c r="A419" s="6" t="n"/>
      <c r="B419" s="24" t="n"/>
      <c r="C419" s="6" t="n"/>
      <c r="D419" s="6" t="n"/>
      <c r="E419" s="6" t="n"/>
      <c r="F419" s="8" t="n"/>
      <c r="G419" s="8" t="n"/>
      <c r="H419" s="6" t="n"/>
    </row>
    <row r="420">
      <c r="A420" s="6" t="n"/>
      <c r="B420" s="24" t="n"/>
      <c r="C420" s="6" t="n"/>
      <c r="D420" s="6" t="n"/>
      <c r="E420" s="6" t="n"/>
      <c r="F420" s="8" t="n"/>
      <c r="G420" s="8" t="n"/>
      <c r="H420" s="6" t="n"/>
    </row>
    <row r="421">
      <c r="A421" s="6" t="n"/>
      <c r="B421" s="24" t="n"/>
      <c r="C421" s="6" t="n"/>
      <c r="D421" s="6" t="n"/>
      <c r="E421" s="6" t="n"/>
      <c r="F421" s="8" t="n"/>
      <c r="G421" s="8" t="n"/>
      <c r="H421" s="6" t="n"/>
    </row>
    <row r="422">
      <c r="A422" s="6" t="n"/>
      <c r="B422" s="24" t="n"/>
      <c r="C422" s="6" t="n"/>
      <c r="D422" s="6" t="n"/>
      <c r="E422" s="6" t="n"/>
      <c r="F422" s="8" t="n"/>
      <c r="G422" s="8" t="n"/>
      <c r="H422" s="6" t="n"/>
    </row>
    <row r="423">
      <c r="A423" s="6" t="n"/>
      <c r="B423" s="24" t="n"/>
      <c r="C423" s="6" t="n"/>
      <c r="D423" s="6" t="n"/>
      <c r="E423" s="6" t="n"/>
      <c r="F423" s="8" t="n"/>
      <c r="G423" s="8" t="n"/>
      <c r="H423" s="6" t="n"/>
    </row>
    <row r="424">
      <c r="A424" s="6" t="n"/>
      <c r="B424" s="24" t="n"/>
      <c r="C424" s="6" t="n"/>
      <c r="D424" s="6" t="n"/>
      <c r="E424" s="6" t="n"/>
      <c r="F424" s="8" t="n"/>
      <c r="G424" s="8" t="n"/>
      <c r="H424" s="6" t="n"/>
    </row>
    <row r="425">
      <c r="A425" s="6" t="n"/>
      <c r="B425" s="24" t="n"/>
      <c r="C425" s="6" t="n"/>
      <c r="D425" s="6" t="n"/>
      <c r="E425" s="6" t="n"/>
      <c r="F425" s="8" t="n"/>
      <c r="G425" s="8" t="n"/>
      <c r="H425" s="6" t="n"/>
    </row>
    <row r="426">
      <c r="A426" s="6" t="n"/>
      <c r="B426" s="24" t="n"/>
      <c r="C426" s="6" t="n"/>
      <c r="D426" s="6" t="n"/>
      <c r="E426" s="6" t="n"/>
      <c r="F426" s="8" t="n"/>
      <c r="G426" s="8" t="n"/>
      <c r="H426" s="6" t="n"/>
    </row>
    <row r="427">
      <c r="A427" s="6" t="n"/>
      <c r="B427" s="24" t="n"/>
      <c r="C427" s="6" t="n"/>
      <c r="D427" s="6" t="n"/>
      <c r="E427" s="6" t="n"/>
      <c r="F427" s="8" t="n"/>
      <c r="G427" s="8" t="n"/>
      <c r="H427" s="6" t="n"/>
    </row>
    <row r="428">
      <c r="A428" s="6" t="n"/>
      <c r="B428" s="24" t="n"/>
      <c r="C428" s="6" t="n"/>
      <c r="D428" s="6" t="n"/>
      <c r="E428" s="6" t="n"/>
      <c r="F428" s="8" t="n"/>
      <c r="G428" s="8" t="n"/>
      <c r="H428" s="6" t="n"/>
    </row>
    <row r="429">
      <c r="A429" s="6" t="n"/>
      <c r="B429" s="24" t="n"/>
      <c r="C429" s="6" t="n"/>
      <c r="D429" s="6" t="n"/>
      <c r="E429" s="6" t="n"/>
      <c r="F429" s="8" t="n"/>
      <c r="G429" s="8" t="n"/>
      <c r="H429" s="6" t="n"/>
    </row>
    <row r="430">
      <c r="A430" s="6" t="n"/>
      <c r="B430" s="24" t="n"/>
      <c r="C430" s="6" t="n"/>
      <c r="D430" s="6" t="n"/>
      <c r="E430" s="6" t="n"/>
      <c r="F430" s="8" t="n"/>
      <c r="G430" s="8" t="n"/>
      <c r="H430" s="6" t="n"/>
    </row>
    <row r="431">
      <c r="A431" s="6" t="n"/>
      <c r="B431" s="24" t="n"/>
      <c r="C431" s="6" t="n"/>
      <c r="D431" s="6" t="n"/>
      <c r="E431" s="6" t="n"/>
      <c r="F431" s="8" t="n"/>
      <c r="G431" s="8" t="n"/>
      <c r="H431" s="6" t="n"/>
    </row>
    <row r="432">
      <c r="A432" s="6" t="n"/>
      <c r="B432" s="24" t="n"/>
      <c r="C432" s="6" t="n"/>
      <c r="D432" s="6" t="n"/>
      <c r="E432" s="6" t="n"/>
      <c r="F432" s="8" t="n"/>
      <c r="G432" s="8" t="n"/>
      <c r="H432" s="6" t="n"/>
    </row>
    <row r="433">
      <c r="A433" s="6" t="n"/>
      <c r="B433" s="24" t="n"/>
      <c r="C433" s="6" t="n"/>
      <c r="D433" s="6" t="n"/>
      <c r="E433" s="6" t="n"/>
      <c r="F433" s="8" t="n"/>
      <c r="G433" s="8" t="n"/>
      <c r="H433" s="6" t="n"/>
    </row>
    <row r="434">
      <c r="A434" s="6" t="n"/>
      <c r="B434" s="24" t="n"/>
      <c r="C434" s="6" t="n"/>
      <c r="D434" s="6" t="n"/>
      <c r="E434" s="6" t="n"/>
      <c r="F434" s="8" t="n"/>
      <c r="G434" s="8" t="n"/>
      <c r="H434" s="6" t="n"/>
    </row>
    <row r="435">
      <c r="A435" s="6" t="n"/>
      <c r="B435" s="24" t="n"/>
      <c r="C435" s="6" t="n"/>
      <c r="D435" s="6" t="n"/>
      <c r="E435" s="6" t="n"/>
      <c r="F435" s="8" t="n"/>
      <c r="G435" s="8" t="n"/>
      <c r="H435" s="6" t="n"/>
    </row>
    <row r="436">
      <c r="A436" s="6" t="n"/>
      <c r="B436" s="24" t="n"/>
      <c r="C436" s="6" t="n"/>
      <c r="D436" s="6" t="n"/>
      <c r="E436" s="6" t="n"/>
      <c r="F436" s="8" t="n"/>
      <c r="G436" s="8" t="n"/>
      <c r="H436" s="6" t="n"/>
    </row>
    <row r="437">
      <c r="A437" s="6" t="n"/>
      <c r="B437" s="24" t="n"/>
      <c r="C437" s="6" t="n"/>
      <c r="D437" s="6" t="n"/>
      <c r="E437" s="6" t="n"/>
      <c r="F437" s="8" t="n"/>
      <c r="G437" s="8" t="n"/>
      <c r="H437" s="6" t="n"/>
    </row>
    <row r="438">
      <c r="A438" s="6" t="n"/>
      <c r="B438" s="24" t="n"/>
      <c r="C438" s="6" t="n"/>
      <c r="D438" s="6" t="n"/>
      <c r="E438" s="6" t="n"/>
      <c r="F438" s="8" t="n"/>
      <c r="G438" s="8" t="n"/>
      <c r="H438" s="6" t="n"/>
    </row>
    <row r="439">
      <c r="A439" s="6" t="n"/>
      <c r="B439" s="24" t="n"/>
      <c r="C439" s="6" t="n"/>
      <c r="D439" s="6" t="n"/>
      <c r="E439" s="6" t="n"/>
      <c r="F439" s="8" t="n"/>
      <c r="G439" s="8" t="n"/>
      <c r="H439" s="6" t="n"/>
    </row>
    <row r="440">
      <c r="A440" s="6" t="n"/>
      <c r="B440" s="24" t="n"/>
      <c r="C440" s="6" t="n"/>
      <c r="D440" s="6" t="n"/>
      <c r="E440" s="6" t="n"/>
      <c r="F440" s="8" t="n"/>
      <c r="G440" s="8" t="n"/>
      <c r="H440" s="6" t="n"/>
    </row>
    <row r="441">
      <c r="A441" s="6" t="n"/>
      <c r="B441" s="24" t="n"/>
      <c r="C441" s="6" t="n"/>
      <c r="D441" s="6" t="n"/>
      <c r="E441" s="6" t="n"/>
      <c r="F441" s="8" t="n"/>
      <c r="G441" s="8" t="n"/>
      <c r="H441" s="6" t="n"/>
    </row>
    <row r="442">
      <c r="A442" s="6" t="n"/>
      <c r="B442" s="24" t="n"/>
      <c r="C442" s="6" t="n"/>
      <c r="D442" s="6" t="n"/>
      <c r="E442" s="6" t="n"/>
      <c r="F442" s="8" t="n"/>
      <c r="G442" s="8" t="n"/>
      <c r="H442" s="6" t="n"/>
    </row>
    <row r="443">
      <c r="A443" s="6" t="n"/>
      <c r="B443" s="24" t="n"/>
      <c r="C443" s="6" t="n"/>
      <c r="D443" s="6" t="n"/>
      <c r="E443" s="6" t="n"/>
      <c r="F443" s="8" t="n"/>
      <c r="G443" s="8" t="n"/>
      <c r="H443" s="6" t="n"/>
    </row>
    <row r="444">
      <c r="A444" s="6" t="n"/>
      <c r="B444" s="24" t="n"/>
      <c r="C444" s="6" t="n"/>
      <c r="D444" s="6" t="n"/>
      <c r="E444" s="6" t="n"/>
      <c r="F444" s="8" t="n"/>
      <c r="G444" s="8" t="n"/>
      <c r="H444" s="6" t="n"/>
    </row>
    <row r="445">
      <c r="A445" s="6" t="n"/>
      <c r="B445" s="24" t="n"/>
      <c r="C445" s="6" t="n"/>
      <c r="D445" s="6" t="n"/>
      <c r="E445" s="6" t="n"/>
      <c r="F445" s="8" t="n"/>
      <c r="G445" s="8" t="n"/>
      <c r="H445" s="6" t="n"/>
    </row>
    <row r="446">
      <c r="A446" s="6" t="n"/>
      <c r="B446" s="24" t="n"/>
      <c r="C446" s="6" t="n"/>
      <c r="D446" s="6" t="n"/>
      <c r="E446" s="6" t="n"/>
      <c r="F446" s="8" t="n"/>
      <c r="G446" s="8" t="n"/>
      <c r="H446" s="6" t="n"/>
    </row>
    <row r="447">
      <c r="A447" s="6" t="n"/>
      <c r="B447" s="24" t="n"/>
      <c r="C447" s="6" t="n"/>
      <c r="D447" s="6" t="n"/>
      <c r="E447" s="6" t="n"/>
      <c r="F447" s="8" t="n"/>
      <c r="G447" s="8" t="n"/>
      <c r="H447" s="6" t="n"/>
    </row>
    <row r="448">
      <c r="A448" s="6" t="n"/>
      <c r="B448" s="24" t="n"/>
      <c r="C448" s="6" t="n"/>
      <c r="D448" s="6" t="n"/>
      <c r="E448" s="6" t="n"/>
      <c r="F448" s="8" t="n"/>
      <c r="G448" s="8" t="n"/>
      <c r="H448" s="6" t="n"/>
    </row>
    <row r="449">
      <c r="A449" s="6" t="n"/>
      <c r="B449" s="24" t="n"/>
      <c r="C449" s="6" t="n"/>
      <c r="D449" s="6" t="n"/>
      <c r="E449" s="6" t="n"/>
      <c r="F449" s="8" t="n"/>
      <c r="G449" s="8" t="n"/>
      <c r="H449" s="6" t="n"/>
    </row>
    <row r="450">
      <c r="A450" s="6" t="n"/>
      <c r="B450" s="24" t="n"/>
      <c r="C450" s="6" t="n"/>
      <c r="D450" s="6" t="n"/>
      <c r="E450" s="6" t="n"/>
      <c r="F450" s="8" t="n"/>
      <c r="G450" s="8" t="n"/>
      <c r="H450" s="6" t="n"/>
    </row>
    <row r="451">
      <c r="A451" s="6" t="n"/>
      <c r="B451" s="24" t="n"/>
      <c r="C451" s="6" t="n"/>
      <c r="D451" s="6" t="n"/>
      <c r="E451" s="6" t="n"/>
      <c r="F451" s="8" t="n"/>
      <c r="G451" s="8" t="n"/>
      <c r="H451" s="6" t="n"/>
    </row>
    <row r="452">
      <c r="A452" s="6" t="n"/>
      <c r="B452" s="24" t="n"/>
      <c r="C452" s="6" t="n"/>
      <c r="D452" s="6" t="n"/>
      <c r="E452" s="6" t="n"/>
      <c r="F452" s="8" t="n"/>
      <c r="G452" s="8" t="n"/>
      <c r="H452" s="6" t="n"/>
    </row>
    <row r="453">
      <c r="A453" s="6" t="n"/>
      <c r="B453" s="24" t="n"/>
      <c r="C453" s="6" t="n"/>
      <c r="D453" s="6" t="n"/>
      <c r="E453" s="6" t="n"/>
      <c r="F453" s="8" t="n"/>
      <c r="G453" s="8" t="n"/>
      <c r="H453" s="6" t="n"/>
    </row>
    <row r="454">
      <c r="A454" s="6" t="n"/>
      <c r="B454" s="24" t="n"/>
      <c r="C454" s="6" t="n"/>
      <c r="D454" s="6" t="n"/>
      <c r="E454" s="6" t="n"/>
      <c r="F454" s="8" t="n"/>
      <c r="G454" s="8" t="n"/>
      <c r="H454" s="6" t="n"/>
    </row>
    <row r="455">
      <c r="A455" s="6" t="n"/>
      <c r="B455" s="24" t="n"/>
      <c r="C455" s="6" t="n"/>
      <c r="D455" s="6" t="n"/>
      <c r="E455" s="6" t="n"/>
      <c r="F455" s="8" t="n"/>
      <c r="G455" s="8" t="n"/>
      <c r="H455" s="6" t="n"/>
    </row>
    <row r="456">
      <c r="A456" s="6" t="n"/>
      <c r="B456" s="24" t="n"/>
      <c r="C456" s="6" t="n"/>
      <c r="D456" s="6" t="n"/>
      <c r="E456" s="6" t="n"/>
      <c r="F456" s="8" t="n"/>
      <c r="G456" s="8" t="n"/>
      <c r="H456" s="6" t="n"/>
    </row>
    <row r="457">
      <c r="A457" s="6" t="n"/>
      <c r="B457" s="24" t="n"/>
      <c r="C457" s="6" t="n"/>
      <c r="D457" s="6" t="n"/>
      <c r="E457" s="6" t="n"/>
      <c r="F457" s="8" t="n"/>
      <c r="G457" s="8" t="n"/>
      <c r="H457" s="6" t="n"/>
    </row>
    <row r="458">
      <c r="A458" s="6" t="n"/>
      <c r="B458" s="24" t="n"/>
      <c r="C458" s="6" t="n"/>
      <c r="D458" s="6" t="n"/>
      <c r="E458" s="6" t="n"/>
      <c r="F458" s="8" t="n"/>
      <c r="G458" s="8" t="n"/>
      <c r="H458" s="6" t="n"/>
    </row>
    <row r="459">
      <c r="A459" s="6" t="n"/>
      <c r="B459" s="24" t="n"/>
      <c r="C459" s="6" t="n"/>
      <c r="D459" s="6" t="n"/>
      <c r="E459" s="6" t="n"/>
      <c r="F459" s="8" t="n"/>
      <c r="G459" s="8" t="n"/>
      <c r="H459" s="6" t="n"/>
    </row>
    <row r="460">
      <c r="A460" s="6" t="n"/>
      <c r="B460" s="24" t="n"/>
      <c r="C460" s="6" t="n"/>
      <c r="D460" s="6" t="n"/>
      <c r="E460" s="6" t="n"/>
      <c r="F460" s="8" t="n"/>
      <c r="G460" s="8" t="n"/>
      <c r="H460" s="6" t="n"/>
    </row>
    <row r="461">
      <c r="A461" s="6" t="n"/>
      <c r="B461" s="24" t="n"/>
      <c r="C461" s="6" t="n"/>
      <c r="D461" s="6" t="n"/>
      <c r="E461" s="6" t="n"/>
      <c r="F461" s="8" t="n"/>
      <c r="G461" s="8" t="n"/>
      <c r="H461" s="6" t="n"/>
    </row>
    <row r="462">
      <c r="A462" s="6" t="n"/>
      <c r="B462" s="24" t="n"/>
      <c r="C462" s="6" t="n"/>
      <c r="D462" s="6" t="n"/>
      <c r="E462" s="6" t="n"/>
      <c r="F462" s="8" t="n"/>
      <c r="G462" s="8" t="n"/>
      <c r="H462" s="6" t="n"/>
    </row>
    <row r="463">
      <c r="A463" s="6" t="n"/>
      <c r="B463" s="24" t="n"/>
      <c r="C463" s="6" t="n"/>
      <c r="D463" s="6" t="n"/>
      <c r="E463" s="6" t="n"/>
      <c r="F463" s="8" t="n"/>
      <c r="G463" s="8" t="n"/>
      <c r="H463" s="6" t="n"/>
    </row>
    <row r="464">
      <c r="A464" s="6" t="n"/>
      <c r="B464" s="24" t="n"/>
      <c r="C464" s="6" t="n"/>
      <c r="D464" s="6" t="n"/>
      <c r="E464" s="6" t="n"/>
      <c r="F464" s="8" t="n"/>
      <c r="G464" s="8" t="n"/>
      <c r="H464" s="6" t="n"/>
    </row>
    <row r="465">
      <c r="A465" s="6" t="n"/>
      <c r="B465" s="24" t="n"/>
      <c r="C465" s="6" t="n"/>
      <c r="D465" s="6" t="n"/>
      <c r="E465" s="6" t="n"/>
      <c r="F465" s="8" t="n"/>
      <c r="G465" s="8" t="n"/>
      <c r="H465" s="6" t="n"/>
    </row>
    <row r="466">
      <c r="A466" s="6" t="n"/>
      <c r="B466" s="24" t="n"/>
      <c r="C466" s="6" t="n"/>
      <c r="D466" s="6" t="n"/>
      <c r="E466" s="6" t="n"/>
      <c r="F466" s="8" t="n"/>
      <c r="G466" s="8" t="n"/>
      <c r="H466" s="6" t="n"/>
    </row>
    <row r="467">
      <c r="A467" s="6" t="n"/>
      <c r="B467" s="24" t="n"/>
      <c r="C467" s="6" t="n"/>
      <c r="D467" s="6" t="n"/>
      <c r="E467" s="6" t="n"/>
      <c r="F467" s="8" t="n"/>
      <c r="G467" s="8" t="n"/>
      <c r="H467" s="6" t="n"/>
    </row>
    <row r="468">
      <c r="A468" s="6" t="n"/>
      <c r="B468" s="24" t="n"/>
      <c r="C468" s="6" t="n"/>
      <c r="D468" s="6" t="n"/>
      <c r="E468" s="6" t="n"/>
      <c r="F468" s="8" t="n"/>
      <c r="G468" s="8" t="n"/>
      <c r="H468" s="6" t="n"/>
    </row>
    <row r="469">
      <c r="A469" s="6" t="n"/>
      <c r="B469" s="24" t="n"/>
      <c r="C469" s="6" t="n"/>
      <c r="D469" s="6" t="n"/>
      <c r="E469" s="6" t="n"/>
      <c r="F469" s="8" t="n"/>
      <c r="G469" s="8" t="n"/>
      <c r="H469" s="6" t="n"/>
    </row>
    <row r="470">
      <c r="A470" s="6" t="n"/>
      <c r="B470" s="24" t="n"/>
      <c r="C470" s="6" t="n"/>
      <c r="D470" s="6" t="n"/>
      <c r="E470" s="6" t="n"/>
      <c r="F470" s="8" t="n"/>
      <c r="G470" s="8" t="n"/>
      <c r="H470" s="6" t="n"/>
    </row>
    <row r="471">
      <c r="A471" s="6" t="n"/>
      <c r="B471" s="24" t="n"/>
      <c r="C471" s="6" t="n"/>
      <c r="D471" s="6" t="n"/>
      <c r="E471" s="6" t="n"/>
      <c r="F471" s="8" t="n"/>
      <c r="G471" s="8" t="n"/>
      <c r="H471" s="6" t="n"/>
    </row>
    <row r="472">
      <c r="A472" s="6" t="n"/>
      <c r="B472" s="24" t="n"/>
      <c r="C472" s="6" t="n"/>
      <c r="D472" s="6" t="n"/>
      <c r="E472" s="6" t="n"/>
      <c r="F472" s="8" t="n"/>
      <c r="G472" s="8" t="n"/>
      <c r="H472" s="6" t="n"/>
    </row>
    <row r="473">
      <c r="A473" s="6" t="n"/>
      <c r="B473" s="24" t="n"/>
      <c r="C473" s="6" t="n"/>
      <c r="D473" s="6" t="n"/>
      <c r="E473" s="6" t="n"/>
      <c r="F473" s="8" t="n"/>
      <c r="G473" s="8" t="n"/>
      <c r="H473" s="6" t="n"/>
    </row>
    <row r="474">
      <c r="A474" s="6" t="n"/>
      <c r="B474" s="24" t="n"/>
      <c r="C474" s="6" t="n"/>
      <c r="D474" s="6" t="n"/>
      <c r="E474" s="6" t="n"/>
      <c r="F474" s="8" t="n"/>
      <c r="G474" s="8" t="n"/>
      <c r="H474" s="6" t="n"/>
    </row>
    <row r="475">
      <c r="A475" s="6" t="n"/>
      <c r="B475" s="24" t="n"/>
      <c r="C475" s="6" t="n"/>
      <c r="D475" s="6" t="n"/>
      <c r="E475" s="6" t="n"/>
      <c r="F475" s="8" t="n"/>
      <c r="G475" s="8" t="n"/>
      <c r="H475" s="6" t="n"/>
    </row>
    <row r="476">
      <c r="A476" s="6" t="n"/>
      <c r="B476" s="24" t="n"/>
      <c r="C476" s="6" t="n"/>
      <c r="D476" s="6" t="n"/>
      <c r="E476" s="6" t="n"/>
      <c r="F476" s="8" t="n"/>
      <c r="G476" s="8" t="n"/>
      <c r="H476" s="6" t="n"/>
    </row>
    <row r="477">
      <c r="A477" s="6" t="n"/>
      <c r="B477" s="24" t="n"/>
      <c r="C477" s="6" t="n"/>
      <c r="D477" s="6" t="n"/>
      <c r="E477" s="6" t="n"/>
      <c r="F477" s="8" t="n"/>
      <c r="G477" s="8" t="n"/>
      <c r="H477" s="6" t="n"/>
    </row>
    <row r="478">
      <c r="A478" s="6" t="n"/>
      <c r="B478" s="24" t="n"/>
      <c r="C478" s="6" t="n"/>
      <c r="D478" s="6" t="n"/>
      <c r="E478" s="6" t="n"/>
      <c r="F478" s="8" t="n"/>
      <c r="G478" s="8" t="n"/>
      <c r="H478" s="6" t="n"/>
    </row>
    <row r="479">
      <c r="A479" s="6" t="n"/>
      <c r="B479" s="24" t="n"/>
      <c r="C479" s="6" t="n"/>
      <c r="D479" s="6" t="n"/>
      <c r="E479" s="6" t="n"/>
      <c r="F479" s="8" t="n"/>
      <c r="G479" s="8" t="n"/>
      <c r="H479" s="6" t="n"/>
    </row>
    <row r="480">
      <c r="A480" s="6" t="n"/>
      <c r="B480" s="24" t="n"/>
      <c r="C480" s="6" t="n"/>
      <c r="D480" s="6" t="n"/>
      <c r="E480" s="6" t="n"/>
      <c r="F480" s="8" t="n"/>
      <c r="G480" s="8" t="n"/>
      <c r="H480" s="6" t="n"/>
    </row>
    <row r="481">
      <c r="A481" s="6" t="n"/>
      <c r="B481" s="24" t="n"/>
      <c r="C481" s="6" t="n"/>
      <c r="D481" s="6" t="n"/>
      <c r="E481" s="6" t="n"/>
      <c r="F481" s="8" t="n"/>
      <c r="G481" s="8" t="n"/>
      <c r="H481" s="6" t="n"/>
    </row>
    <row r="482">
      <c r="A482" s="6" t="n"/>
      <c r="B482" s="24" t="n"/>
      <c r="C482" s="6" t="n"/>
      <c r="D482" s="6" t="n"/>
      <c r="E482" s="6" t="n"/>
      <c r="F482" s="8" t="n"/>
      <c r="G482" s="8" t="n"/>
      <c r="H482" s="6" t="n"/>
    </row>
    <row r="483">
      <c r="A483" s="6" t="n"/>
      <c r="B483" s="24" t="n"/>
      <c r="C483" s="6" t="n"/>
      <c r="D483" s="6" t="n"/>
      <c r="E483" s="6" t="n"/>
      <c r="F483" s="8" t="n"/>
      <c r="G483" s="8" t="n"/>
      <c r="H483" s="6" t="n"/>
    </row>
    <row r="484">
      <c r="A484" s="6" t="n"/>
      <c r="B484" s="24" t="n"/>
      <c r="C484" s="6" t="n"/>
      <c r="D484" s="6" t="n"/>
      <c r="E484" s="6" t="n"/>
      <c r="F484" s="8" t="n"/>
      <c r="G484" s="8" t="n"/>
      <c r="H484" s="6" t="n"/>
    </row>
    <row r="485">
      <c r="A485" s="6" t="n"/>
      <c r="B485" s="24" t="n"/>
      <c r="C485" s="6" t="n"/>
      <c r="D485" s="6" t="n"/>
      <c r="E485" s="6" t="n"/>
      <c r="F485" s="8" t="n"/>
      <c r="G485" s="8" t="n"/>
      <c r="H485" s="6" t="n"/>
    </row>
    <row r="486">
      <c r="A486" s="6" t="n"/>
      <c r="B486" s="24" t="n"/>
      <c r="C486" s="6" t="n"/>
      <c r="D486" s="6" t="n"/>
      <c r="E486" s="6" t="n"/>
      <c r="F486" s="8" t="n"/>
      <c r="G486" s="8" t="n"/>
      <c r="H486" s="6" t="n"/>
    </row>
    <row r="487">
      <c r="A487" s="6" t="n"/>
      <c r="B487" s="24" t="n"/>
      <c r="C487" s="6" t="n"/>
      <c r="D487" s="6" t="n"/>
      <c r="E487" s="6" t="n"/>
      <c r="F487" s="8" t="n"/>
      <c r="G487" s="8" t="n"/>
      <c r="H487" s="6" t="n"/>
    </row>
    <row r="488">
      <c r="A488" s="6" t="n"/>
      <c r="B488" s="24" t="n"/>
      <c r="C488" s="6" t="n"/>
      <c r="D488" s="6" t="n"/>
      <c r="E488" s="6" t="n"/>
      <c r="F488" s="8" t="n"/>
      <c r="G488" s="8" t="n"/>
      <c r="H488" s="6" t="n"/>
    </row>
    <row r="489">
      <c r="A489" s="6" t="n"/>
      <c r="B489" s="24" t="n"/>
      <c r="C489" s="6" t="n"/>
      <c r="D489" s="6" t="n"/>
      <c r="E489" s="6" t="n"/>
      <c r="F489" s="8" t="n"/>
      <c r="G489" s="8" t="n"/>
      <c r="H489" s="6" t="n"/>
    </row>
    <row r="490">
      <c r="A490" s="6" t="n"/>
      <c r="B490" s="24" t="n"/>
      <c r="C490" s="6" t="n"/>
      <c r="D490" s="6" t="n"/>
      <c r="E490" s="6" t="n"/>
      <c r="F490" s="8" t="n"/>
      <c r="G490" s="8" t="n"/>
      <c r="H490" s="6" t="n"/>
    </row>
    <row r="491">
      <c r="A491" s="6" t="n"/>
      <c r="B491" s="24" t="n"/>
      <c r="C491" s="6" t="n"/>
      <c r="D491" s="6" t="n"/>
      <c r="E491" s="6" t="n"/>
      <c r="F491" s="8" t="n"/>
      <c r="G491" s="8" t="n"/>
      <c r="H491" s="6" t="n"/>
    </row>
    <row r="492">
      <c r="A492" s="6" t="n"/>
      <c r="B492" s="24" t="n"/>
      <c r="C492" s="6" t="n"/>
      <c r="D492" s="6" t="n"/>
      <c r="E492" s="6" t="n"/>
      <c r="F492" s="8" t="n"/>
      <c r="G492" s="8" t="n"/>
      <c r="H492" s="6" t="n"/>
    </row>
    <row r="493">
      <c r="A493" s="6" t="n"/>
      <c r="B493" s="24" t="n"/>
      <c r="C493" s="6" t="n"/>
      <c r="D493" s="6" t="n"/>
      <c r="E493" s="6" t="n"/>
      <c r="F493" s="8" t="n"/>
      <c r="G493" s="8" t="n"/>
      <c r="H493" s="6" t="n"/>
    </row>
    <row r="494">
      <c r="A494" s="6" t="n"/>
      <c r="B494" s="24" t="n"/>
      <c r="C494" s="6" t="n"/>
      <c r="D494" s="6" t="n"/>
      <c r="E494" s="6" t="n"/>
      <c r="F494" s="8" t="n"/>
      <c r="G494" s="8" t="n"/>
      <c r="H494" s="6" t="n"/>
    </row>
    <row r="495">
      <c r="A495" s="6" t="n"/>
      <c r="B495" s="24" t="n"/>
      <c r="C495" s="6" t="n"/>
      <c r="D495" s="6" t="n"/>
      <c r="E495" s="6" t="n"/>
      <c r="F495" s="8" t="n"/>
      <c r="G495" s="8" t="n"/>
      <c r="H495" s="6" t="n"/>
    </row>
    <row r="496">
      <c r="A496" s="6" t="n"/>
      <c r="B496" s="24" t="n"/>
      <c r="C496" s="6" t="n"/>
      <c r="D496" s="6" t="n"/>
      <c r="E496" s="6" t="n"/>
      <c r="F496" s="8" t="n"/>
      <c r="G496" s="8" t="n"/>
      <c r="H496" s="6" t="n"/>
    </row>
    <row r="497">
      <c r="A497" s="6" t="n"/>
      <c r="B497" s="24" t="n"/>
      <c r="C497" s="6" t="n"/>
      <c r="D497" s="6" t="n"/>
      <c r="E497" s="6" t="n"/>
      <c r="F497" s="8" t="n"/>
      <c r="G497" s="8" t="n"/>
      <c r="H497" s="6" t="n"/>
    </row>
    <row r="498">
      <c r="A498" s="6" t="n"/>
      <c r="B498" s="24" t="n"/>
      <c r="C498" s="6" t="n"/>
      <c r="D498" s="6" t="n"/>
      <c r="E498" s="6" t="n"/>
      <c r="F498" s="8" t="n"/>
      <c r="G498" s="8" t="n"/>
      <c r="H498" s="6" t="n"/>
    </row>
    <row r="499">
      <c r="A499" s="6" t="n"/>
      <c r="B499" s="24" t="n"/>
      <c r="C499" s="6" t="n"/>
      <c r="D499" s="6" t="n"/>
      <c r="E499" s="6" t="n"/>
      <c r="F499" s="8" t="n"/>
      <c r="G499" s="8" t="n"/>
      <c r="H499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2026-09-20T20:14:44Z</dcterms:created>
  <dcterms:modified xmlns:dcterms="http://purl.org/dc/terms/" xmlns:xsi="http://www.w3.org/2001/XMLSchema-instance" xsi:type="dcterms:W3CDTF">2026-09-20T20:14:45Z</dcterms:modified>
</cp:coreProperties>
</file>